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b6bfc8c781ef4f/fussballobmann/Touchmonitor/SV-Holtsee-Wittensee-Touch/data/"/>
    </mc:Choice>
  </mc:AlternateContent>
  <xr:revisionPtr revIDLastSave="44" documentId="8_{2AA08989-BC04-48B9-B1FC-85AF9B801E8A}" xr6:coauthVersionLast="47" xr6:coauthVersionMax="47" xr10:uidLastSave="{0DDF7230-ED1E-4729-8B2C-B0CC54075BAC}"/>
  <bookViews>
    <workbookView xWindow="-98" yWindow="-98" windowWidth="23236" windowHeight="13875" xr2:uid="{2F502BE3-C089-4694-AC90-61A97806A0B3}"/>
  </bookViews>
  <sheets>
    <sheet name="csv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7" i="1" l="1"/>
  <c r="P57" i="1"/>
  <c r="O57" i="1"/>
  <c r="N57" i="1"/>
  <c r="M57" i="1"/>
  <c r="L57" i="1"/>
  <c r="K57" i="1"/>
  <c r="J57" i="1"/>
  <c r="I57" i="1"/>
  <c r="H57" i="1"/>
  <c r="G57" i="1"/>
  <c r="F57" i="1"/>
  <c r="Q56" i="1"/>
  <c r="P56" i="1"/>
  <c r="O56" i="1"/>
  <c r="N56" i="1"/>
  <c r="M56" i="1"/>
  <c r="L56" i="1"/>
  <c r="K56" i="1"/>
  <c r="J56" i="1"/>
  <c r="I56" i="1"/>
  <c r="H56" i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Q54" i="1"/>
  <c r="P54" i="1"/>
  <c r="O54" i="1"/>
  <c r="N54" i="1"/>
  <c r="M54" i="1"/>
  <c r="L54" i="1"/>
  <c r="K54" i="1"/>
  <c r="J54" i="1"/>
  <c r="I54" i="1"/>
  <c r="H54" i="1"/>
  <c r="G54" i="1"/>
  <c r="F54" i="1"/>
  <c r="Q53" i="1"/>
  <c r="P53" i="1"/>
  <c r="O53" i="1"/>
  <c r="N53" i="1"/>
  <c r="M53" i="1"/>
  <c r="L53" i="1"/>
  <c r="K53" i="1"/>
  <c r="J53" i="1"/>
  <c r="I53" i="1"/>
  <c r="H53" i="1"/>
  <c r="G53" i="1"/>
  <c r="F53" i="1"/>
  <c r="Q52" i="1"/>
  <c r="P52" i="1"/>
  <c r="O52" i="1"/>
  <c r="N52" i="1"/>
  <c r="M52" i="1"/>
  <c r="L52" i="1"/>
  <c r="K52" i="1"/>
  <c r="J52" i="1"/>
  <c r="I52" i="1"/>
  <c r="H52" i="1"/>
  <c r="G52" i="1"/>
  <c r="F52" i="1"/>
  <c r="Q51" i="1"/>
  <c r="P51" i="1"/>
  <c r="O51" i="1"/>
  <c r="N51" i="1"/>
  <c r="M51" i="1"/>
  <c r="L51" i="1"/>
  <c r="K51" i="1"/>
  <c r="J51" i="1"/>
  <c r="I51" i="1"/>
  <c r="H51" i="1"/>
  <c r="G51" i="1"/>
  <c r="F51" i="1"/>
  <c r="Q50" i="1"/>
  <c r="P50" i="1"/>
  <c r="O50" i="1"/>
  <c r="N50" i="1"/>
  <c r="M50" i="1"/>
  <c r="L50" i="1"/>
  <c r="K50" i="1"/>
  <c r="J50" i="1"/>
  <c r="I50" i="1"/>
  <c r="H50" i="1"/>
  <c r="G50" i="1"/>
  <c r="F50" i="1"/>
  <c r="Q49" i="1"/>
  <c r="P49" i="1"/>
  <c r="O49" i="1"/>
  <c r="N49" i="1"/>
  <c r="M49" i="1"/>
  <c r="L49" i="1"/>
  <c r="K49" i="1"/>
  <c r="J49" i="1"/>
  <c r="I49" i="1"/>
  <c r="H49" i="1"/>
  <c r="G49" i="1"/>
  <c r="F49" i="1"/>
  <c r="Q48" i="1"/>
  <c r="P48" i="1"/>
  <c r="O48" i="1"/>
  <c r="N48" i="1"/>
  <c r="M48" i="1"/>
  <c r="L48" i="1"/>
  <c r="K48" i="1"/>
  <c r="J48" i="1"/>
  <c r="I48" i="1"/>
  <c r="H48" i="1"/>
  <c r="G48" i="1"/>
  <c r="F48" i="1"/>
  <c r="Q47" i="1"/>
  <c r="P47" i="1"/>
  <c r="O47" i="1"/>
  <c r="N47" i="1"/>
  <c r="M47" i="1"/>
  <c r="L47" i="1"/>
  <c r="K47" i="1"/>
  <c r="J47" i="1"/>
  <c r="I47" i="1"/>
  <c r="H47" i="1"/>
  <c r="G47" i="1"/>
  <c r="F47" i="1"/>
  <c r="Q46" i="1"/>
  <c r="P46" i="1"/>
  <c r="O46" i="1"/>
  <c r="N46" i="1"/>
  <c r="M46" i="1"/>
  <c r="L46" i="1"/>
  <c r="K46" i="1"/>
  <c r="J46" i="1"/>
  <c r="I46" i="1"/>
  <c r="H46" i="1"/>
  <c r="G46" i="1"/>
  <c r="F46" i="1"/>
  <c r="Q45" i="1"/>
  <c r="P45" i="1"/>
  <c r="O45" i="1"/>
  <c r="N45" i="1"/>
  <c r="M45" i="1"/>
  <c r="L45" i="1"/>
  <c r="K45" i="1"/>
  <c r="J45" i="1"/>
  <c r="I45" i="1"/>
  <c r="H45" i="1"/>
  <c r="G45" i="1"/>
  <c r="F45" i="1"/>
  <c r="Q44" i="1"/>
  <c r="P44" i="1"/>
  <c r="O44" i="1"/>
  <c r="N44" i="1"/>
  <c r="M44" i="1"/>
  <c r="L44" i="1"/>
  <c r="K44" i="1"/>
  <c r="J44" i="1"/>
  <c r="I44" i="1"/>
  <c r="H44" i="1"/>
  <c r="G44" i="1"/>
  <c r="F44" i="1"/>
  <c r="Q43" i="1"/>
  <c r="P43" i="1"/>
  <c r="O43" i="1"/>
  <c r="N43" i="1"/>
  <c r="M43" i="1"/>
  <c r="L43" i="1"/>
  <c r="K43" i="1"/>
  <c r="J43" i="1"/>
  <c r="I43" i="1"/>
  <c r="H43" i="1"/>
  <c r="G43" i="1"/>
  <c r="F43" i="1"/>
  <c r="Q42" i="1"/>
  <c r="P42" i="1"/>
  <c r="O42" i="1"/>
  <c r="N42" i="1"/>
  <c r="M42" i="1"/>
  <c r="L42" i="1"/>
  <c r="K42" i="1"/>
  <c r="J42" i="1"/>
  <c r="I42" i="1"/>
  <c r="H42" i="1"/>
  <c r="G42" i="1"/>
  <c r="F42" i="1"/>
  <c r="Q41" i="1"/>
  <c r="P41" i="1"/>
  <c r="O41" i="1"/>
  <c r="N41" i="1"/>
  <c r="M41" i="1"/>
  <c r="L41" i="1"/>
  <c r="K41" i="1"/>
  <c r="J41" i="1"/>
  <c r="I41" i="1"/>
  <c r="H41" i="1"/>
  <c r="G41" i="1"/>
  <c r="F41" i="1"/>
  <c r="Q40" i="1"/>
  <c r="P40" i="1"/>
  <c r="O40" i="1"/>
  <c r="N40" i="1"/>
  <c r="M40" i="1"/>
  <c r="L40" i="1"/>
  <c r="K40" i="1"/>
  <c r="J40" i="1"/>
  <c r="I40" i="1"/>
  <c r="H40" i="1"/>
  <c r="G40" i="1"/>
  <c r="F40" i="1"/>
  <c r="Q39" i="1"/>
  <c r="P39" i="1"/>
  <c r="O39" i="1"/>
  <c r="N39" i="1"/>
  <c r="M39" i="1"/>
  <c r="L39" i="1"/>
  <c r="K39" i="1"/>
  <c r="J39" i="1"/>
  <c r="I39" i="1"/>
  <c r="H39" i="1"/>
  <c r="G39" i="1"/>
  <c r="F39" i="1"/>
  <c r="Q38" i="1"/>
  <c r="P38" i="1"/>
  <c r="O38" i="1"/>
  <c r="N38" i="1"/>
  <c r="M38" i="1"/>
  <c r="L38" i="1"/>
  <c r="K38" i="1"/>
  <c r="J38" i="1"/>
  <c r="I38" i="1"/>
  <c r="H38" i="1"/>
  <c r="G38" i="1"/>
  <c r="F38" i="1"/>
  <c r="Q37" i="1"/>
  <c r="P37" i="1"/>
  <c r="O37" i="1"/>
  <c r="N37" i="1"/>
  <c r="M37" i="1"/>
  <c r="L37" i="1"/>
  <c r="K37" i="1"/>
  <c r="J37" i="1"/>
  <c r="I37" i="1"/>
  <c r="H37" i="1"/>
  <c r="G37" i="1"/>
  <c r="F37" i="1"/>
  <c r="Q36" i="1"/>
  <c r="P36" i="1"/>
  <c r="O36" i="1"/>
  <c r="N36" i="1"/>
  <c r="M36" i="1"/>
  <c r="L36" i="1"/>
  <c r="K36" i="1"/>
  <c r="J36" i="1"/>
  <c r="I36" i="1"/>
  <c r="H36" i="1"/>
  <c r="G36" i="1"/>
  <c r="F36" i="1"/>
  <c r="Q35" i="1"/>
  <c r="P35" i="1"/>
  <c r="O35" i="1"/>
  <c r="N35" i="1"/>
  <c r="M35" i="1"/>
  <c r="L35" i="1"/>
  <c r="K35" i="1"/>
  <c r="J35" i="1"/>
  <c r="I35" i="1"/>
  <c r="H35" i="1"/>
  <c r="G35" i="1"/>
  <c r="F35" i="1"/>
  <c r="Q34" i="1"/>
  <c r="P34" i="1"/>
  <c r="O34" i="1"/>
  <c r="N34" i="1"/>
  <c r="M34" i="1"/>
  <c r="L34" i="1"/>
  <c r="K34" i="1"/>
  <c r="J34" i="1"/>
  <c r="I34" i="1"/>
  <c r="H34" i="1"/>
  <c r="G34" i="1"/>
  <c r="F34" i="1"/>
  <c r="Q33" i="1"/>
  <c r="P33" i="1"/>
  <c r="O33" i="1"/>
  <c r="N33" i="1"/>
  <c r="M33" i="1"/>
  <c r="L33" i="1"/>
  <c r="K33" i="1"/>
  <c r="J33" i="1"/>
  <c r="I33" i="1"/>
  <c r="H33" i="1"/>
  <c r="G33" i="1"/>
  <c r="F33" i="1"/>
  <c r="Q32" i="1"/>
  <c r="P32" i="1"/>
  <c r="O32" i="1"/>
  <c r="N32" i="1"/>
  <c r="M32" i="1"/>
  <c r="L32" i="1"/>
  <c r="K32" i="1"/>
  <c r="J32" i="1"/>
  <c r="I32" i="1"/>
  <c r="H32" i="1"/>
  <c r="G32" i="1"/>
  <c r="F32" i="1"/>
  <c r="Q31" i="1"/>
  <c r="P31" i="1"/>
  <c r="O31" i="1"/>
  <c r="N31" i="1"/>
  <c r="M31" i="1"/>
  <c r="L31" i="1"/>
  <c r="K31" i="1"/>
  <c r="J31" i="1"/>
  <c r="I31" i="1"/>
  <c r="H31" i="1"/>
  <c r="G31" i="1"/>
  <c r="F31" i="1"/>
  <c r="Q30" i="1"/>
  <c r="P30" i="1"/>
  <c r="O30" i="1"/>
  <c r="N30" i="1"/>
  <c r="M30" i="1"/>
  <c r="L30" i="1"/>
  <c r="K30" i="1"/>
  <c r="J30" i="1"/>
  <c r="I30" i="1"/>
  <c r="H30" i="1"/>
  <c r="G30" i="1"/>
  <c r="F30" i="1"/>
  <c r="Q29" i="1"/>
  <c r="P29" i="1"/>
  <c r="O29" i="1"/>
  <c r="N29" i="1"/>
  <c r="M29" i="1"/>
  <c r="L29" i="1"/>
  <c r="K29" i="1"/>
  <c r="J29" i="1"/>
  <c r="I29" i="1"/>
  <c r="H29" i="1"/>
  <c r="G29" i="1"/>
  <c r="F29" i="1"/>
  <c r="Q28" i="1"/>
  <c r="P28" i="1"/>
  <c r="O28" i="1"/>
  <c r="N28" i="1"/>
  <c r="M28" i="1"/>
  <c r="L28" i="1"/>
  <c r="K28" i="1"/>
  <c r="J28" i="1"/>
  <c r="I28" i="1"/>
  <c r="H28" i="1"/>
  <c r="G28" i="1"/>
  <c r="F28" i="1"/>
  <c r="Q27" i="1"/>
  <c r="P27" i="1"/>
  <c r="O27" i="1"/>
  <c r="N27" i="1"/>
  <c r="M27" i="1"/>
  <c r="L27" i="1"/>
  <c r="K27" i="1"/>
  <c r="J27" i="1"/>
  <c r="I27" i="1"/>
  <c r="H27" i="1"/>
  <c r="G27" i="1"/>
  <c r="F27" i="1"/>
  <c r="Q26" i="1"/>
  <c r="P26" i="1"/>
  <c r="O26" i="1"/>
  <c r="N26" i="1"/>
  <c r="M26" i="1"/>
  <c r="L26" i="1"/>
  <c r="K26" i="1"/>
  <c r="J26" i="1"/>
  <c r="I26" i="1"/>
  <c r="H26" i="1"/>
  <c r="G26" i="1"/>
  <c r="F26" i="1"/>
  <c r="Q25" i="1"/>
  <c r="P25" i="1"/>
  <c r="O25" i="1"/>
  <c r="N25" i="1"/>
  <c r="M25" i="1"/>
  <c r="L25" i="1"/>
  <c r="K25" i="1"/>
  <c r="J25" i="1"/>
  <c r="I25" i="1"/>
  <c r="H25" i="1"/>
  <c r="G25" i="1"/>
  <c r="F25" i="1"/>
  <c r="Q24" i="1"/>
  <c r="P24" i="1"/>
  <c r="O24" i="1"/>
  <c r="N24" i="1"/>
  <c r="M24" i="1"/>
  <c r="L24" i="1"/>
  <c r="K24" i="1"/>
  <c r="J24" i="1"/>
  <c r="I24" i="1"/>
  <c r="H24" i="1"/>
  <c r="G24" i="1"/>
  <c r="F24" i="1"/>
  <c r="Q23" i="1"/>
  <c r="P23" i="1"/>
  <c r="O23" i="1"/>
  <c r="N23" i="1"/>
  <c r="M23" i="1"/>
  <c r="L23" i="1"/>
  <c r="K23" i="1"/>
  <c r="J23" i="1"/>
  <c r="I23" i="1"/>
  <c r="H23" i="1"/>
  <c r="G23" i="1"/>
  <c r="F23" i="1"/>
  <c r="Q22" i="1"/>
  <c r="P22" i="1"/>
  <c r="O22" i="1"/>
  <c r="N22" i="1"/>
  <c r="M22" i="1"/>
  <c r="L22" i="1"/>
  <c r="K22" i="1"/>
  <c r="J22" i="1"/>
  <c r="I22" i="1"/>
  <c r="H22" i="1"/>
  <c r="G22" i="1"/>
  <c r="F22" i="1"/>
  <c r="Q21" i="1"/>
  <c r="P21" i="1"/>
  <c r="O21" i="1"/>
  <c r="N21" i="1"/>
  <c r="M21" i="1"/>
  <c r="L21" i="1"/>
  <c r="K21" i="1"/>
  <c r="J21" i="1"/>
  <c r="I21" i="1"/>
  <c r="H21" i="1"/>
  <c r="G21" i="1"/>
  <c r="F21" i="1"/>
  <c r="Q20" i="1"/>
  <c r="P20" i="1"/>
  <c r="O20" i="1"/>
  <c r="N20" i="1"/>
  <c r="M20" i="1"/>
  <c r="L20" i="1"/>
  <c r="K20" i="1"/>
  <c r="J20" i="1"/>
  <c r="I20" i="1"/>
  <c r="H20" i="1"/>
  <c r="G20" i="1"/>
  <c r="F20" i="1"/>
  <c r="Q19" i="1"/>
  <c r="P19" i="1"/>
  <c r="O19" i="1"/>
  <c r="N19" i="1"/>
  <c r="M19" i="1"/>
  <c r="L19" i="1"/>
  <c r="K19" i="1"/>
  <c r="J19" i="1"/>
  <c r="I19" i="1"/>
  <c r="H19" i="1"/>
  <c r="G19" i="1"/>
  <c r="F19" i="1"/>
  <c r="Q18" i="1"/>
  <c r="P18" i="1"/>
  <c r="O18" i="1"/>
  <c r="N18" i="1"/>
  <c r="M18" i="1"/>
  <c r="L18" i="1"/>
  <c r="K18" i="1"/>
  <c r="J18" i="1"/>
  <c r="I18" i="1"/>
  <c r="H18" i="1"/>
  <c r="G18" i="1"/>
  <c r="F18" i="1"/>
  <c r="Q17" i="1"/>
  <c r="P17" i="1"/>
  <c r="O17" i="1"/>
  <c r="N17" i="1"/>
  <c r="M17" i="1"/>
  <c r="L17" i="1"/>
  <c r="K17" i="1"/>
  <c r="J17" i="1"/>
  <c r="I17" i="1"/>
  <c r="H17" i="1"/>
  <c r="G17" i="1"/>
  <c r="F17" i="1"/>
  <c r="Q16" i="1"/>
  <c r="P16" i="1"/>
  <c r="O16" i="1"/>
  <c r="N16" i="1"/>
  <c r="M16" i="1"/>
  <c r="L16" i="1"/>
  <c r="K16" i="1"/>
  <c r="J16" i="1"/>
  <c r="I16" i="1"/>
  <c r="H16" i="1"/>
  <c r="G16" i="1"/>
  <c r="F16" i="1"/>
  <c r="Q15" i="1"/>
  <c r="P15" i="1"/>
  <c r="O15" i="1"/>
  <c r="N15" i="1"/>
  <c r="M15" i="1"/>
  <c r="L15" i="1"/>
  <c r="K15" i="1"/>
  <c r="J15" i="1"/>
  <c r="I15" i="1"/>
  <c r="H15" i="1"/>
  <c r="G15" i="1"/>
  <c r="F15" i="1"/>
  <c r="Q14" i="1"/>
  <c r="P14" i="1"/>
  <c r="O14" i="1"/>
  <c r="N14" i="1"/>
  <c r="M14" i="1"/>
  <c r="L14" i="1"/>
  <c r="K14" i="1"/>
  <c r="J14" i="1"/>
  <c r="I14" i="1"/>
  <c r="H14" i="1"/>
  <c r="G14" i="1"/>
  <c r="F14" i="1"/>
  <c r="Q13" i="1"/>
  <c r="P13" i="1"/>
  <c r="O13" i="1"/>
  <c r="N13" i="1"/>
  <c r="M13" i="1"/>
  <c r="L13" i="1"/>
  <c r="K13" i="1"/>
  <c r="J13" i="1"/>
  <c r="I13" i="1"/>
  <c r="H13" i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Q11" i="1"/>
  <c r="P11" i="1"/>
  <c r="O11" i="1"/>
  <c r="N11" i="1"/>
  <c r="M11" i="1"/>
  <c r="L11" i="1"/>
  <c r="K11" i="1"/>
  <c r="J11" i="1"/>
  <c r="I11" i="1"/>
  <c r="H11" i="1"/>
  <c r="G11" i="1"/>
  <c r="F11" i="1"/>
  <c r="Q10" i="1"/>
  <c r="P10" i="1"/>
  <c r="O10" i="1"/>
  <c r="N10" i="1"/>
  <c r="M10" i="1"/>
  <c r="L10" i="1"/>
  <c r="K10" i="1"/>
  <c r="J10" i="1"/>
  <c r="I10" i="1"/>
  <c r="H10" i="1"/>
  <c r="G10" i="1"/>
  <c r="F10" i="1"/>
  <c r="Q9" i="1"/>
  <c r="P9" i="1"/>
  <c r="O9" i="1"/>
  <c r="N9" i="1"/>
  <c r="M9" i="1"/>
  <c r="L9" i="1"/>
  <c r="K9" i="1"/>
  <c r="J9" i="1"/>
  <c r="I9" i="1"/>
  <c r="H9" i="1"/>
  <c r="G9" i="1"/>
  <c r="F9" i="1"/>
  <c r="Q8" i="1"/>
  <c r="P8" i="1"/>
  <c r="O8" i="1"/>
  <c r="N8" i="1"/>
  <c r="M8" i="1"/>
  <c r="L8" i="1"/>
  <c r="K8" i="1"/>
  <c r="J8" i="1"/>
  <c r="I8" i="1"/>
  <c r="H8" i="1"/>
  <c r="G8" i="1"/>
  <c r="F8" i="1"/>
  <c r="Q7" i="1"/>
  <c r="P7" i="1"/>
  <c r="O7" i="1"/>
  <c r="N7" i="1"/>
  <c r="M7" i="1"/>
  <c r="L7" i="1"/>
  <c r="K7" i="1"/>
  <c r="J7" i="1"/>
  <c r="I7" i="1"/>
  <c r="H7" i="1"/>
  <c r="G7" i="1"/>
  <c r="F7" i="1"/>
  <c r="Q6" i="1"/>
  <c r="P6" i="1"/>
  <c r="O6" i="1"/>
  <c r="N6" i="1"/>
  <c r="M6" i="1"/>
  <c r="L6" i="1"/>
  <c r="K6" i="1"/>
  <c r="J6" i="1"/>
  <c r="I6" i="1"/>
  <c r="H6" i="1"/>
  <c r="G6" i="1"/>
  <c r="F6" i="1"/>
  <c r="Q5" i="1"/>
  <c r="P5" i="1"/>
  <c r="O5" i="1"/>
  <c r="N5" i="1"/>
  <c r="M5" i="1"/>
  <c r="L5" i="1"/>
  <c r="K5" i="1"/>
  <c r="J5" i="1"/>
  <c r="I5" i="1"/>
  <c r="H5" i="1"/>
  <c r="G5" i="1"/>
  <c r="F5" i="1"/>
  <c r="Q4" i="1"/>
  <c r="P4" i="1"/>
  <c r="O4" i="1"/>
  <c r="N4" i="1"/>
  <c r="M4" i="1"/>
  <c r="L4" i="1"/>
  <c r="K4" i="1"/>
  <c r="J4" i="1"/>
  <c r="I4" i="1"/>
  <c r="H4" i="1"/>
  <c r="G4" i="1"/>
  <c r="F4" i="1"/>
  <c r="Q3" i="1"/>
  <c r="P3" i="1"/>
  <c r="O3" i="1"/>
  <c r="N3" i="1"/>
  <c r="M3" i="1"/>
  <c r="L3" i="1"/>
  <c r="K3" i="1"/>
  <c r="J3" i="1"/>
  <c r="I3" i="1"/>
  <c r="H3" i="1"/>
  <c r="G3" i="1"/>
  <c r="F3" i="1"/>
  <c r="Q2" i="1"/>
  <c r="P2" i="1"/>
  <c r="O2" i="1"/>
  <c r="N2" i="1"/>
  <c r="M2" i="1"/>
  <c r="L2" i="1"/>
  <c r="K2" i="1"/>
  <c r="J2" i="1"/>
  <c r="I2" i="1"/>
  <c r="H2" i="1"/>
  <c r="G2" i="1"/>
  <c r="F2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<sst xmlns="http://schemas.openxmlformats.org/spreadsheetml/2006/main" count="78" uniqueCount="33">
  <si>
    <t>MF</t>
  </si>
  <si>
    <t>maxi</t>
  </si>
  <si>
    <t>rot_zwoote</t>
  </si>
  <si>
    <t>gelbrot_zwoote</t>
  </si>
  <si>
    <t>gelb_zwoote</t>
  </si>
  <si>
    <t>vorlagen_zwoote</t>
  </si>
  <si>
    <t>tore_zwoote</t>
  </si>
  <si>
    <t>min_zwoote</t>
  </si>
  <si>
    <t>rot_liga</t>
  </si>
  <si>
    <t>gelbrot_liga</t>
  </si>
  <si>
    <t>gelb_liga</t>
  </si>
  <si>
    <t>vorlagen_liga</t>
  </si>
  <si>
    <t>tore_liga</t>
  </si>
  <si>
    <t>min_liga</t>
  </si>
  <si>
    <t>seit</t>
  </si>
  <si>
    <t>position</t>
  </si>
  <si>
    <t>nummer</t>
  </si>
  <si>
    <t>name</t>
  </si>
  <si>
    <t>id</t>
  </si>
  <si>
    <t>basti</t>
  </si>
  <si>
    <t>Abw</t>
  </si>
  <si>
    <t>marci</t>
  </si>
  <si>
    <t>tim</t>
  </si>
  <si>
    <t>ST</t>
  </si>
  <si>
    <t>TW</t>
  </si>
  <si>
    <t>kevin</t>
  </si>
  <si>
    <t>erick</t>
  </si>
  <si>
    <t>brice</t>
  </si>
  <si>
    <t>flo</t>
  </si>
  <si>
    <t>jonny</t>
  </si>
  <si>
    <t>steffen</t>
  </si>
  <si>
    <t>pauli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</si>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</sst>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b6bfc8c781ef4f/fussballobmann/Statistik/8%20Gesamt%20Sa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samt"/>
    </sheetNames>
    <sheetDataSet>
      <sheetData sheetId="0">
        <row r="4">
          <cell r="B4" t="str">
            <v>Alexander Schmidt</v>
          </cell>
          <cell r="C4">
            <v>593</v>
          </cell>
          <cell r="D4">
            <v>0</v>
          </cell>
          <cell r="L4">
            <v>1</v>
          </cell>
          <cell r="M4">
            <v>0</v>
          </cell>
          <cell r="O4">
            <v>0</v>
          </cell>
          <cell r="P4">
            <v>0</v>
          </cell>
          <cell r="R4">
            <v>0</v>
          </cell>
          <cell r="S4">
            <v>0</v>
          </cell>
          <cell r="U4">
            <v>2</v>
          </cell>
          <cell r="V4">
            <v>0</v>
          </cell>
          <cell r="X4">
            <v>1</v>
          </cell>
          <cell r="Y4">
            <v>0</v>
          </cell>
        </row>
        <row r="5">
          <cell r="B5" t="str">
            <v>André Kaustrup</v>
          </cell>
          <cell r="C5">
            <v>700</v>
          </cell>
          <cell r="D5">
            <v>80</v>
          </cell>
          <cell r="L5">
            <v>0</v>
          </cell>
          <cell r="M5">
            <v>0</v>
          </cell>
          <cell r="O5">
            <v>0</v>
          </cell>
          <cell r="P5">
            <v>0</v>
          </cell>
          <cell r="R5">
            <v>0</v>
          </cell>
          <cell r="S5">
            <v>0</v>
          </cell>
          <cell r="U5">
            <v>1</v>
          </cell>
          <cell r="V5">
            <v>0</v>
          </cell>
          <cell r="X5">
            <v>0</v>
          </cell>
          <cell r="Y5">
            <v>0</v>
          </cell>
        </row>
        <row r="6">
          <cell r="B6" t="str">
            <v>Arne Brunkert</v>
          </cell>
          <cell r="C6">
            <v>789</v>
          </cell>
          <cell r="D6">
            <v>0</v>
          </cell>
          <cell r="L6">
            <v>0</v>
          </cell>
          <cell r="M6">
            <v>0</v>
          </cell>
          <cell r="O6">
            <v>0</v>
          </cell>
          <cell r="P6">
            <v>0</v>
          </cell>
          <cell r="R6">
            <v>0</v>
          </cell>
          <cell r="S6">
            <v>0</v>
          </cell>
          <cell r="U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B7" t="str">
            <v>Bent Sommer-Sievert</v>
          </cell>
          <cell r="C7">
            <v>0</v>
          </cell>
          <cell r="D7">
            <v>90</v>
          </cell>
          <cell r="L7">
            <v>0</v>
          </cell>
          <cell r="M7">
            <v>1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X7">
            <v>0</v>
          </cell>
          <cell r="Y7">
            <v>0</v>
          </cell>
        </row>
        <row r="8">
          <cell r="B8" t="str">
            <v>Bjarne Wegner</v>
          </cell>
          <cell r="C8">
            <v>1113</v>
          </cell>
          <cell r="D8">
            <v>60</v>
          </cell>
          <cell r="L8">
            <v>1</v>
          </cell>
          <cell r="M8">
            <v>0</v>
          </cell>
          <cell r="O8">
            <v>0</v>
          </cell>
          <cell r="P8">
            <v>0</v>
          </cell>
          <cell r="R8">
            <v>0</v>
          </cell>
          <cell r="S8">
            <v>0</v>
          </cell>
          <cell r="U8">
            <v>2</v>
          </cell>
          <cell r="V8">
            <v>0</v>
          </cell>
          <cell r="X8">
            <v>0</v>
          </cell>
          <cell r="Y8">
            <v>0</v>
          </cell>
        </row>
        <row r="9">
          <cell r="B9" t="str">
            <v>Bosse Kuhl</v>
          </cell>
          <cell r="C9">
            <v>60</v>
          </cell>
          <cell r="D9">
            <v>1018</v>
          </cell>
          <cell r="L9">
            <v>0</v>
          </cell>
          <cell r="M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U9">
            <v>0</v>
          </cell>
          <cell r="V9">
            <v>6</v>
          </cell>
          <cell r="X9">
            <v>0</v>
          </cell>
          <cell r="Y9">
            <v>8</v>
          </cell>
        </row>
        <row r="10">
          <cell r="B10" t="str">
            <v>Chris Hansen</v>
          </cell>
          <cell r="C10">
            <v>0</v>
          </cell>
          <cell r="D10">
            <v>75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  <cell r="R10">
            <v>0</v>
          </cell>
          <cell r="S10">
            <v>0</v>
          </cell>
          <cell r="U10">
            <v>0</v>
          </cell>
          <cell r="V10">
            <v>1</v>
          </cell>
          <cell r="X10">
            <v>0</v>
          </cell>
          <cell r="Y10">
            <v>1</v>
          </cell>
        </row>
        <row r="11">
          <cell r="B11" t="str">
            <v>Christian Schnitker</v>
          </cell>
          <cell r="C11">
            <v>0</v>
          </cell>
          <cell r="D11">
            <v>170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U11">
            <v>0</v>
          </cell>
          <cell r="V11">
            <v>1</v>
          </cell>
          <cell r="X11">
            <v>0</v>
          </cell>
          <cell r="Y11">
            <v>0</v>
          </cell>
        </row>
        <row r="12">
          <cell r="B12" t="str">
            <v>Christoph Seibert</v>
          </cell>
          <cell r="C12">
            <v>896</v>
          </cell>
          <cell r="D12">
            <v>180</v>
          </cell>
          <cell r="L12">
            <v>1</v>
          </cell>
          <cell r="M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  <cell r="U12">
            <v>2</v>
          </cell>
          <cell r="V12">
            <v>0</v>
          </cell>
          <cell r="X12">
            <v>2</v>
          </cell>
          <cell r="Y12">
            <v>2</v>
          </cell>
        </row>
        <row r="13">
          <cell r="B13" t="str">
            <v>Erick Ehlers</v>
          </cell>
          <cell r="C13">
            <v>1973</v>
          </cell>
          <cell r="D13">
            <v>90</v>
          </cell>
          <cell r="L13">
            <v>1</v>
          </cell>
          <cell r="M13">
            <v>1</v>
          </cell>
          <cell r="O13">
            <v>0</v>
          </cell>
          <cell r="P13">
            <v>0</v>
          </cell>
          <cell r="R13">
            <v>1</v>
          </cell>
          <cell r="S13">
            <v>0</v>
          </cell>
          <cell r="U13">
            <v>1</v>
          </cell>
          <cell r="V13">
            <v>1</v>
          </cell>
          <cell r="X13">
            <v>0</v>
          </cell>
          <cell r="Y13">
            <v>0</v>
          </cell>
        </row>
        <row r="14">
          <cell r="B14" t="str">
            <v>Erik Mohr</v>
          </cell>
          <cell r="C14">
            <v>0</v>
          </cell>
          <cell r="D14">
            <v>552</v>
          </cell>
          <cell r="L14">
            <v>0</v>
          </cell>
          <cell r="M14">
            <v>2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X14">
            <v>0</v>
          </cell>
          <cell r="Y14">
            <v>0</v>
          </cell>
        </row>
        <row r="15">
          <cell r="B15" t="str">
            <v>Fabrice Christl</v>
          </cell>
          <cell r="C15">
            <v>0</v>
          </cell>
          <cell r="D15">
            <v>1350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U15">
            <v>0</v>
          </cell>
          <cell r="V15">
            <v>1</v>
          </cell>
          <cell r="X15">
            <v>0</v>
          </cell>
          <cell r="Y15">
            <v>0</v>
          </cell>
        </row>
        <row r="16">
          <cell r="B16" t="str">
            <v>Finn Paulinski</v>
          </cell>
          <cell r="C16">
            <v>740</v>
          </cell>
          <cell r="D16">
            <v>600</v>
          </cell>
          <cell r="L16">
            <v>1</v>
          </cell>
          <cell r="M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U16">
            <v>1</v>
          </cell>
          <cell r="V16">
            <v>4</v>
          </cell>
          <cell r="X16">
            <v>2</v>
          </cell>
          <cell r="Y16">
            <v>2</v>
          </cell>
        </row>
        <row r="17">
          <cell r="B17" t="str">
            <v>Florian Höhndorf</v>
          </cell>
          <cell r="C17">
            <v>169</v>
          </cell>
          <cell r="D17">
            <v>1615</v>
          </cell>
          <cell r="L17">
            <v>1</v>
          </cell>
          <cell r="M17">
            <v>2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U17">
            <v>0</v>
          </cell>
          <cell r="V17">
            <v>4</v>
          </cell>
          <cell r="X17">
            <v>0</v>
          </cell>
          <cell r="Y17">
            <v>2</v>
          </cell>
        </row>
        <row r="18">
          <cell r="B18" t="str">
            <v>Hennes Makoben</v>
          </cell>
          <cell r="C18">
            <v>0</v>
          </cell>
          <cell r="D18">
            <v>797</v>
          </cell>
          <cell r="L18">
            <v>0</v>
          </cell>
          <cell r="M18">
            <v>1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U18">
            <v>0</v>
          </cell>
          <cell r="V18">
            <v>2</v>
          </cell>
          <cell r="X18">
            <v>0</v>
          </cell>
          <cell r="Y18">
            <v>2</v>
          </cell>
        </row>
        <row r="19">
          <cell r="B19" t="str">
            <v>Jakob Rutscher</v>
          </cell>
          <cell r="C19">
            <v>225</v>
          </cell>
          <cell r="D19">
            <v>270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X19">
            <v>2</v>
          </cell>
          <cell r="Y19">
            <v>3</v>
          </cell>
        </row>
        <row r="20">
          <cell r="B20" t="str">
            <v>Jan-Emil Schäfer</v>
          </cell>
          <cell r="C20">
            <v>1363</v>
          </cell>
          <cell r="D20">
            <v>0</v>
          </cell>
          <cell r="L20">
            <v>6</v>
          </cell>
          <cell r="M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U20">
            <v>2</v>
          </cell>
          <cell r="V20">
            <v>0</v>
          </cell>
          <cell r="X20">
            <v>14</v>
          </cell>
          <cell r="Y20">
            <v>0</v>
          </cell>
        </row>
        <row r="21">
          <cell r="B21" t="str">
            <v>Jannek Bahr</v>
          </cell>
          <cell r="C21">
            <v>270</v>
          </cell>
          <cell r="D21">
            <v>131</v>
          </cell>
          <cell r="L21">
            <v>2</v>
          </cell>
          <cell r="M21">
            <v>1</v>
          </cell>
          <cell r="O21">
            <v>0</v>
          </cell>
          <cell r="P21">
            <v>1</v>
          </cell>
          <cell r="R21">
            <v>0</v>
          </cell>
          <cell r="S21">
            <v>0</v>
          </cell>
          <cell r="U21">
            <v>0</v>
          </cell>
          <cell r="V21">
            <v>1</v>
          </cell>
          <cell r="X21">
            <v>0</v>
          </cell>
          <cell r="Y21">
            <v>0</v>
          </cell>
        </row>
        <row r="22">
          <cell r="B22" t="str">
            <v>Jannis Poerschke</v>
          </cell>
          <cell r="C22">
            <v>752</v>
          </cell>
          <cell r="D22">
            <v>90</v>
          </cell>
          <cell r="L22">
            <v>4</v>
          </cell>
          <cell r="M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U22">
            <v>2</v>
          </cell>
          <cell r="V22">
            <v>0</v>
          </cell>
          <cell r="X22">
            <v>0</v>
          </cell>
          <cell r="Y22">
            <v>0</v>
          </cell>
        </row>
        <row r="23">
          <cell r="B23" t="str">
            <v>Johann Jahn</v>
          </cell>
          <cell r="C23">
            <v>0</v>
          </cell>
          <cell r="D23">
            <v>1059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U23">
            <v>0</v>
          </cell>
          <cell r="V23">
            <v>0</v>
          </cell>
          <cell r="X23">
            <v>0</v>
          </cell>
          <cell r="Y23">
            <v>3</v>
          </cell>
        </row>
        <row r="24">
          <cell r="B24" t="str">
            <v>Jonas Vogel</v>
          </cell>
          <cell r="C24">
            <v>0</v>
          </cell>
          <cell r="D24">
            <v>985</v>
          </cell>
          <cell r="L24">
            <v>0</v>
          </cell>
          <cell r="M24">
            <v>1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U24">
            <v>0</v>
          </cell>
          <cell r="V24">
            <v>4</v>
          </cell>
          <cell r="X24">
            <v>0</v>
          </cell>
          <cell r="Y24">
            <v>2</v>
          </cell>
        </row>
        <row r="25">
          <cell r="B25" t="str">
            <v>Justin Schink</v>
          </cell>
          <cell r="C25">
            <v>0</v>
          </cell>
          <cell r="D25">
            <v>420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</row>
        <row r="26">
          <cell r="B26" t="str">
            <v>Kevin Bressler</v>
          </cell>
          <cell r="C26">
            <v>0</v>
          </cell>
          <cell r="D26">
            <v>285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X26">
            <v>0</v>
          </cell>
          <cell r="Y26">
            <v>0</v>
          </cell>
        </row>
        <row r="27">
          <cell r="B27" t="str">
            <v>Kevin Langbehn</v>
          </cell>
          <cell r="C27">
            <v>1143</v>
          </cell>
          <cell r="D27">
            <v>80</v>
          </cell>
          <cell r="L27">
            <v>10</v>
          </cell>
          <cell r="M27">
            <v>0</v>
          </cell>
          <cell r="O27">
            <v>1</v>
          </cell>
          <cell r="P27">
            <v>0</v>
          </cell>
          <cell r="R27">
            <v>0</v>
          </cell>
          <cell r="S27">
            <v>0</v>
          </cell>
          <cell r="U27">
            <v>7</v>
          </cell>
          <cell r="V27">
            <v>0</v>
          </cell>
          <cell r="X27">
            <v>8</v>
          </cell>
          <cell r="Y27">
            <v>4</v>
          </cell>
        </row>
        <row r="28">
          <cell r="B28" t="str">
            <v>Kian Petersen</v>
          </cell>
          <cell r="C28">
            <v>1513</v>
          </cell>
          <cell r="D28">
            <v>0</v>
          </cell>
          <cell r="L28">
            <v>3</v>
          </cell>
          <cell r="M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U28">
            <v>7</v>
          </cell>
          <cell r="V28">
            <v>0</v>
          </cell>
          <cell r="X28">
            <v>0</v>
          </cell>
          <cell r="Y28">
            <v>0</v>
          </cell>
        </row>
        <row r="29">
          <cell r="B29" t="str">
            <v>Kjell Schröder</v>
          </cell>
          <cell r="C29">
            <v>146</v>
          </cell>
          <cell r="D29">
            <v>290</v>
          </cell>
          <cell r="L29">
            <v>1</v>
          </cell>
          <cell r="M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U29">
            <v>0</v>
          </cell>
          <cell r="V29">
            <v>2</v>
          </cell>
          <cell r="X29">
            <v>0</v>
          </cell>
          <cell r="Y29">
            <v>2</v>
          </cell>
        </row>
        <row r="30">
          <cell r="B30" t="str">
            <v>Lukas Koppe</v>
          </cell>
          <cell r="C30">
            <v>323</v>
          </cell>
          <cell r="D30">
            <v>595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X30">
            <v>0</v>
          </cell>
          <cell r="Y30">
            <v>2</v>
          </cell>
        </row>
        <row r="31">
          <cell r="B31" t="str">
            <v>Maik Heisterkamp</v>
          </cell>
          <cell r="C31">
            <v>0</v>
          </cell>
          <cell r="D31">
            <v>911</v>
          </cell>
          <cell r="L31">
            <v>0</v>
          </cell>
          <cell r="M31">
            <v>3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U31">
            <v>0</v>
          </cell>
          <cell r="V31">
            <v>1</v>
          </cell>
          <cell r="X31">
            <v>0</v>
          </cell>
          <cell r="Y31">
            <v>5</v>
          </cell>
        </row>
        <row r="32">
          <cell r="B32" t="str">
            <v>Marcel Nass</v>
          </cell>
          <cell r="C32">
            <v>1826</v>
          </cell>
          <cell r="D32">
            <v>0</v>
          </cell>
          <cell r="L32">
            <v>4</v>
          </cell>
          <cell r="M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B33" t="str">
            <v>Marcel Sydow</v>
          </cell>
          <cell r="C33">
            <v>0</v>
          </cell>
          <cell r="D33">
            <v>149</v>
          </cell>
          <cell r="L33">
            <v>0</v>
          </cell>
          <cell r="M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B34" t="str">
            <v>Marek Stickelbruck</v>
          </cell>
          <cell r="C34">
            <v>505</v>
          </cell>
          <cell r="D34">
            <v>175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U34">
            <v>0</v>
          </cell>
          <cell r="V34">
            <v>1</v>
          </cell>
          <cell r="X34">
            <v>3</v>
          </cell>
          <cell r="Y34">
            <v>1</v>
          </cell>
        </row>
        <row r="35">
          <cell r="B35" t="str">
            <v>Matti Bade</v>
          </cell>
          <cell r="C35">
            <v>1439</v>
          </cell>
          <cell r="D35">
            <v>90</v>
          </cell>
          <cell r="L35">
            <v>9</v>
          </cell>
          <cell r="M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U35">
            <v>1</v>
          </cell>
          <cell r="V35">
            <v>0</v>
          </cell>
          <cell r="X35">
            <v>7</v>
          </cell>
          <cell r="Y35">
            <v>0</v>
          </cell>
        </row>
        <row r="36">
          <cell r="B36" t="str">
            <v>Max Laabs</v>
          </cell>
          <cell r="C36">
            <v>1200</v>
          </cell>
          <cell r="D36">
            <v>90</v>
          </cell>
          <cell r="L36">
            <v>1</v>
          </cell>
          <cell r="M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X36">
            <v>1</v>
          </cell>
          <cell r="Y36">
            <v>0</v>
          </cell>
        </row>
        <row r="37">
          <cell r="B37" t="str">
            <v>Max Rönnau</v>
          </cell>
          <cell r="C37">
            <v>0</v>
          </cell>
          <cell r="D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X37">
            <v>0</v>
          </cell>
          <cell r="Y37">
            <v>0</v>
          </cell>
        </row>
        <row r="38">
          <cell r="B38" t="str">
            <v>Maximilian Pilz</v>
          </cell>
          <cell r="C38">
            <v>0</v>
          </cell>
          <cell r="D38">
            <v>1358</v>
          </cell>
          <cell r="L38">
            <v>0</v>
          </cell>
          <cell r="M38">
            <v>3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V38">
            <v>4</v>
          </cell>
          <cell r="X38">
            <v>0</v>
          </cell>
          <cell r="Y38">
            <v>4</v>
          </cell>
        </row>
        <row r="39">
          <cell r="B39" t="str">
            <v>Nicolas Wind</v>
          </cell>
          <cell r="C39">
            <v>99</v>
          </cell>
          <cell r="D39">
            <v>1043</v>
          </cell>
          <cell r="L39">
            <v>0</v>
          </cell>
          <cell r="M39">
            <v>1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U39">
            <v>0</v>
          </cell>
          <cell r="V39">
            <v>1</v>
          </cell>
          <cell r="X39">
            <v>0</v>
          </cell>
          <cell r="Y39">
            <v>2</v>
          </cell>
        </row>
        <row r="40">
          <cell r="B40" t="str">
            <v>Niklas Glück</v>
          </cell>
          <cell r="C40">
            <v>1167</v>
          </cell>
          <cell r="D40">
            <v>0</v>
          </cell>
          <cell r="L40">
            <v>1</v>
          </cell>
          <cell r="M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X40">
            <v>1</v>
          </cell>
          <cell r="Y40">
            <v>0</v>
          </cell>
        </row>
        <row r="41">
          <cell r="B41" t="str">
            <v>Ole Ströh</v>
          </cell>
          <cell r="C41">
            <v>774</v>
          </cell>
          <cell r="D41">
            <v>80</v>
          </cell>
          <cell r="L41">
            <v>2</v>
          </cell>
          <cell r="M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U41">
            <v>1</v>
          </cell>
          <cell r="V41">
            <v>0</v>
          </cell>
          <cell r="X41">
            <v>0</v>
          </cell>
          <cell r="Y41">
            <v>0</v>
          </cell>
        </row>
        <row r="42">
          <cell r="B42" t="str">
            <v>Roman Walter</v>
          </cell>
          <cell r="C42">
            <v>0</v>
          </cell>
          <cell r="D42">
            <v>0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B43" t="str">
            <v>Rouven Meister</v>
          </cell>
          <cell r="C43">
            <v>1308</v>
          </cell>
          <cell r="D43">
            <v>0</v>
          </cell>
          <cell r="L43">
            <v>2</v>
          </cell>
          <cell r="M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U43">
            <v>1</v>
          </cell>
          <cell r="V43">
            <v>0</v>
          </cell>
          <cell r="X43">
            <v>1</v>
          </cell>
          <cell r="Y43">
            <v>0</v>
          </cell>
        </row>
        <row r="44">
          <cell r="B44" t="str">
            <v>Sebastian Ehlers</v>
          </cell>
          <cell r="C44">
            <v>90</v>
          </cell>
          <cell r="D44">
            <v>338</v>
          </cell>
          <cell r="L44">
            <v>0</v>
          </cell>
          <cell r="M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U44">
            <v>0</v>
          </cell>
          <cell r="V44">
            <v>1</v>
          </cell>
          <cell r="X44">
            <v>0</v>
          </cell>
          <cell r="Y44">
            <v>1</v>
          </cell>
        </row>
        <row r="45">
          <cell r="B45" t="str">
            <v>Sebastian Lange</v>
          </cell>
          <cell r="C45">
            <v>72</v>
          </cell>
          <cell r="D45">
            <v>1800</v>
          </cell>
          <cell r="L45">
            <v>0</v>
          </cell>
          <cell r="M45">
            <v>1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U45">
            <v>0</v>
          </cell>
          <cell r="V45">
            <v>1</v>
          </cell>
          <cell r="X45">
            <v>0</v>
          </cell>
          <cell r="Y45">
            <v>0</v>
          </cell>
        </row>
        <row r="46">
          <cell r="B46" t="str">
            <v>Sebastian Röh</v>
          </cell>
          <cell r="C46">
            <v>0</v>
          </cell>
          <cell r="D46">
            <v>77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B47" t="str">
            <v>Sebastian Saupe</v>
          </cell>
          <cell r="C47">
            <v>0</v>
          </cell>
          <cell r="D47">
            <v>560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U47">
            <v>0</v>
          </cell>
          <cell r="V47">
            <v>1</v>
          </cell>
          <cell r="X47">
            <v>0</v>
          </cell>
          <cell r="Y47">
            <v>0</v>
          </cell>
        </row>
        <row r="48">
          <cell r="B48" t="str">
            <v>Simon Mathiesen</v>
          </cell>
          <cell r="C48">
            <v>0</v>
          </cell>
          <cell r="D48">
            <v>121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U48">
            <v>0</v>
          </cell>
          <cell r="V48">
            <v>1</v>
          </cell>
          <cell r="X48">
            <v>0</v>
          </cell>
          <cell r="Y48">
            <v>1</v>
          </cell>
        </row>
        <row r="49">
          <cell r="B49" t="str">
            <v>Steffen Zobott</v>
          </cell>
          <cell r="C49">
            <v>0</v>
          </cell>
          <cell r="D49">
            <v>1551</v>
          </cell>
          <cell r="L49">
            <v>0</v>
          </cell>
          <cell r="M49">
            <v>1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B50" t="str">
            <v>Sven Köpernick</v>
          </cell>
          <cell r="C50">
            <v>0</v>
          </cell>
          <cell r="D50">
            <v>90</v>
          </cell>
          <cell r="L50">
            <v>0</v>
          </cell>
          <cell r="M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B51" t="str">
            <v>Till Greiner-Hiero</v>
          </cell>
          <cell r="C51">
            <v>517</v>
          </cell>
          <cell r="D51">
            <v>0</v>
          </cell>
          <cell r="L51">
            <v>0</v>
          </cell>
          <cell r="M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U51">
            <v>1</v>
          </cell>
          <cell r="V51">
            <v>0</v>
          </cell>
          <cell r="X51">
            <v>3</v>
          </cell>
          <cell r="Y51">
            <v>0</v>
          </cell>
        </row>
        <row r="52">
          <cell r="B52" t="str">
            <v>Tim Sachau</v>
          </cell>
          <cell r="C52">
            <v>1710</v>
          </cell>
          <cell r="D52">
            <v>0</v>
          </cell>
          <cell r="L52">
            <v>2</v>
          </cell>
          <cell r="M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U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B53" t="str">
            <v>Tim Stratmann</v>
          </cell>
          <cell r="C53">
            <v>0</v>
          </cell>
          <cell r="D53">
            <v>420</v>
          </cell>
          <cell r="L53">
            <v>0</v>
          </cell>
          <cell r="M53">
            <v>2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X53">
            <v>0</v>
          </cell>
          <cell r="Y53">
            <v>1</v>
          </cell>
        </row>
        <row r="54">
          <cell r="B54" t="str">
            <v>Torge Bremer</v>
          </cell>
          <cell r="C54">
            <v>0</v>
          </cell>
          <cell r="D54">
            <v>140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B55" t="str">
            <v>Veit Brücker</v>
          </cell>
          <cell r="C55">
            <v>0</v>
          </cell>
          <cell r="D55">
            <v>250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U55">
            <v>0</v>
          </cell>
          <cell r="V55">
            <v>2</v>
          </cell>
          <cell r="X55">
            <v>0</v>
          </cell>
          <cell r="Y55">
            <v>0</v>
          </cell>
        </row>
        <row r="56">
          <cell r="B56" t="str">
            <v>Z1 Joso Jochimsen</v>
          </cell>
          <cell r="C56">
            <v>0</v>
          </cell>
          <cell r="D56">
            <v>198</v>
          </cell>
          <cell r="L56">
            <v>0</v>
          </cell>
          <cell r="M56">
            <v>1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B57" t="str">
            <v>Z2 Lars Heinrich</v>
          </cell>
          <cell r="C57">
            <v>0</v>
          </cell>
          <cell r="D57">
            <v>209</v>
          </cell>
          <cell r="L57">
            <v>0</v>
          </cell>
          <cell r="M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B58" t="str">
            <v>Z3 Jason Hannemann</v>
          </cell>
          <cell r="C58">
            <v>0</v>
          </cell>
          <cell r="D58">
            <v>49</v>
          </cell>
          <cell r="L58">
            <v>0</v>
          </cell>
          <cell r="M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B59" t="str">
            <v>Z4 Pascal Diedrichsen</v>
          </cell>
          <cell r="C59">
            <v>333</v>
          </cell>
          <cell r="D59">
            <v>0</v>
          </cell>
          <cell r="L59">
            <v>0</v>
          </cell>
          <cell r="M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U59">
            <v>0</v>
          </cell>
          <cell r="V59">
            <v>0</v>
          </cell>
          <cell r="X59">
            <v>1</v>
          </cell>
          <cell r="Y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A66F-2168-4276-A0FA-F9978EF9FE9A}">
  <dimension ref="A1:Q431"/>
  <sheetViews>
    <sheetView tabSelected="1" zoomScale="90" zoomScaleNormal="90" workbookViewId="0">
      <selection activeCell="G17" sqref="G17"/>
    </sheetView>
  </sheetViews>
  <sheetFormatPr baseColWidth="10" defaultRowHeight="14.25" x14ac:dyDescent="0.45"/>
  <cols>
    <col min="1" max="1" width="9.33203125" customWidth="1"/>
    <col min="2" max="2" width="17.19921875" customWidth="1"/>
    <col min="5" max="5" width="15.796875" customWidth="1"/>
    <col min="6" max="17" width="14.59765625" customWidth="1"/>
  </cols>
  <sheetData>
    <row r="1" spans="1:17" ht="40.9" customHeight="1" x14ac:dyDescent="0.45">
      <c r="A1" s="3" t="s">
        <v>18</v>
      </c>
      <c r="B1" s="3" t="s">
        <v>17</v>
      </c>
      <c r="C1" s="3" t="s">
        <v>16</v>
      </c>
      <c r="D1" s="3" t="s">
        <v>15</v>
      </c>
      <c r="E1" s="3" t="s">
        <v>14</v>
      </c>
      <c r="F1" s="3" t="s">
        <v>13</v>
      </c>
      <c r="G1" s="3" t="s">
        <v>12</v>
      </c>
      <c r="H1" s="3" t="s">
        <v>11</v>
      </c>
      <c r="I1" s="3" t="s">
        <v>10</v>
      </c>
      <c r="J1" s="3" t="s">
        <v>9</v>
      </c>
      <c r="K1" s="3" t="s">
        <v>8</v>
      </c>
      <c r="L1" s="3" t="s">
        <v>7</v>
      </c>
      <c r="M1" s="3" t="s">
        <v>6</v>
      </c>
      <c r="N1" s="3" t="s">
        <v>5</v>
      </c>
      <c r="O1" s="3" t="s">
        <v>4</v>
      </c>
      <c r="P1" s="3" t="s">
        <v>3</v>
      </c>
      <c r="Q1" s="3" t="s">
        <v>2</v>
      </c>
    </row>
    <row r="2" spans="1:17" s="1" customFormat="1" ht="21" customHeight="1" x14ac:dyDescent="0.45">
      <c r="B2" s="1" t="str">
        <f>[1]Gesamt!B4</f>
        <v>Alexander Schmidt</v>
      </c>
      <c r="C2" s="1">
        <v>31</v>
      </c>
      <c r="D2" s="1" t="s">
        <v>0</v>
      </c>
      <c r="E2" s="2">
        <v>45212</v>
      </c>
      <c r="F2" s="1">
        <f>[1]Gesamt!C4</f>
        <v>593</v>
      </c>
      <c r="G2" s="1">
        <f>[1]Gesamt!X4</f>
        <v>1</v>
      </c>
      <c r="H2" s="1">
        <f>[1]Gesamt!U4</f>
        <v>2</v>
      </c>
      <c r="I2" s="1">
        <f>[1]Gesamt!L4</f>
        <v>1</v>
      </c>
      <c r="J2" s="1">
        <f>[1]Gesamt!O4</f>
        <v>0</v>
      </c>
      <c r="K2" s="1">
        <f>[1]Gesamt!R4</f>
        <v>0</v>
      </c>
      <c r="L2" s="1">
        <f>[1]Gesamt!D4</f>
        <v>0</v>
      </c>
      <c r="M2" s="1">
        <f>[1]Gesamt!Y4</f>
        <v>0</v>
      </c>
      <c r="N2" s="1">
        <f>[1]Gesamt!V4</f>
        <v>0</v>
      </c>
      <c r="O2" s="1">
        <f>[1]Gesamt!M4</f>
        <v>0</v>
      </c>
      <c r="P2" s="1">
        <f>[1]Gesamt!P4</f>
        <v>0</v>
      </c>
      <c r="Q2" s="1">
        <f>[1]Gesamt!S4</f>
        <v>0</v>
      </c>
    </row>
    <row r="3" spans="1:17" s="1" customFormat="1" ht="21" customHeight="1" x14ac:dyDescent="0.45">
      <c r="B3" s="1" t="str">
        <f>[1]Gesamt!B5</f>
        <v>André Kaustrup</v>
      </c>
      <c r="C3" s="1">
        <v>5</v>
      </c>
      <c r="D3" s="1" t="s">
        <v>20</v>
      </c>
      <c r="E3" s="2">
        <v>34513</v>
      </c>
      <c r="F3" s="1">
        <f>[1]Gesamt!C5</f>
        <v>700</v>
      </c>
      <c r="G3" s="1">
        <f>[1]Gesamt!X5</f>
        <v>0</v>
      </c>
      <c r="H3" s="1">
        <f>[1]Gesamt!U5</f>
        <v>1</v>
      </c>
      <c r="I3" s="1">
        <f>[1]Gesamt!L5</f>
        <v>0</v>
      </c>
      <c r="J3" s="1">
        <f>[1]Gesamt!O5</f>
        <v>0</v>
      </c>
      <c r="K3" s="1">
        <f>[1]Gesamt!R5</f>
        <v>0</v>
      </c>
      <c r="L3" s="1">
        <f>[1]Gesamt!D5</f>
        <v>80</v>
      </c>
      <c r="M3" s="1">
        <f>[1]Gesamt!Y5</f>
        <v>0</v>
      </c>
      <c r="N3" s="1">
        <f>[1]Gesamt!V5</f>
        <v>0</v>
      </c>
      <c r="O3" s="1">
        <f>[1]Gesamt!M5</f>
        <v>0</v>
      </c>
      <c r="P3" s="1">
        <f>[1]Gesamt!P5</f>
        <v>0</v>
      </c>
      <c r="Q3" s="1">
        <f>[1]Gesamt!S5</f>
        <v>0</v>
      </c>
    </row>
    <row r="4" spans="1:17" s="1" customFormat="1" ht="21" customHeight="1" x14ac:dyDescent="0.45">
      <c r="B4" s="1" t="str">
        <f>[1]Gesamt!B6</f>
        <v>Arne Brunkert</v>
      </c>
      <c r="C4" s="1">
        <v>2</v>
      </c>
      <c r="D4" s="1" t="s">
        <v>20</v>
      </c>
      <c r="E4" s="2">
        <v>42917</v>
      </c>
      <c r="F4" s="1">
        <f>[1]Gesamt!C6</f>
        <v>789</v>
      </c>
      <c r="G4" s="1">
        <f>[1]Gesamt!X6</f>
        <v>0</v>
      </c>
      <c r="H4" s="1">
        <f>[1]Gesamt!U6</f>
        <v>0</v>
      </c>
      <c r="I4" s="1">
        <f>[1]Gesamt!L6</f>
        <v>0</v>
      </c>
      <c r="J4" s="1">
        <f>[1]Gesamt!O6</f>
        <v>0</v>
      </c>
      <c r="K4" s="1">
        <f>[1]Gesamt!R6</f>
        <v>0</v>
      </c>
      <c r="L4" s="1">
        <f>[1]Gesamt!D6</f>
        <v>0</v>
      </c>
      <c r="M4" s="1">
        <f>[1]Gesamt!Y6</f>
        <v>0</v>
      </c>
      <c r="N4" s="1">
        <f>[1]Gesamt!V6</f>
        <v>0</v>
      </c>
      <c r="O4" s="1">
        <f>[1]Gesamt!M6</f>
        <v>0</v>
      </c>
      <c r="P4" s="1">
        <f>[1]Gesamt!P6</f>
        <v>0</v>
      </c>
      <c r="Q4" s="1">
        <f>[1]Gesamt!S6</f>
        <v>0</v>
      </c>
    </row>
    <row r="5" spans="1:17" s="1" customFormat="1" ht="21" customHeight="1" x14ac:dyDescent="0.45">
      <c r="B5" s="1" t="str">
        <f>[1]Gesamt!B7</f>
        <v>Bent Sommer-Sievert</v>
      </c>
      <c r="E5" s="2"/>
      <c r="F5" s="1">
        <f>[1]Gesamt!C7</f>
        <v>0</v>
      </c>
      <c r="G5" s="1">
        <f>[1]Gesamt!X7</f>
        <v>0</v>
      </c>
      <c r="H5" s="1">
        <f>[1]Gesamt!U7</f>
        <v>0</v>
      </c>
      <c r="I5" s="1">
        <f>[1]Gesamt!L7</f>
        <v>0</v>
      </c>
      <c r="J5" s="1">
        <f>[1]Gesamt!O7</f>
        <v>0</v>
      </c>
      <c r="K5" s="1">
        <f>[1]Gesamt!R7</f>
        <v>0</v>
      </c>
      <c r="L5" s="1">
        <f>[1]Gesamt!D7</f>
        <v>90</v>
      </c>
      <c r="M5" s="1">
        <f>[1]Gesamt!Y7</f>
        <v>0</v>
      </c>
      <c r="N5" s="1">
        <f>[1]Gesamt!V7</f>
        <v>0</v>
      </c>
      <c r="O5" s="1">
        <f>[1]Gesamt!M7</f>
        <v>1</v>
      </c>
      <c r="P5" s="1">
        <f>[1]Gesamt!P7</f>
        <v>0</v>
      </c>
      <c r="Q5" s="1">
        <f>[1]Gesamt!S7</f>
        <v>0</v>
      </c>
    </row>
    <row r="6" spans="1:17" s="1" customFormat="1" ht="21" customHeight="1" x14ac:dyDescent="0.45">
      <c r="B6" s="1" t="str">
        <f>[1]Gesamt!B8</f>
        <v>Bjarne Wegner</v>
      </c>
      <c r="C6" s="1">
        <v>4</v>
      </c>
      <c r="D6" s="1" t="s">
        <v>20</v>
      </c>
      <c r="E6" s="2">
        <v>42918</v>
      </c>
      <c r="F6" s="1">
        <f>[1]Gesamt!C8</f>
        <v>1113</v>
      </c>
      <c r="G6" s="1">
        <f>[1]Gesamt!X8</f>
        <v>0</v>
      </c>
      <c r="H6" s="1">
        <f>[1]Gesamt!U8</f>
        <v>2</v>
      </c>
      <c r="I6" s="1">
        <f>[1]Gesamt!L8</f>
        <v>1</v>
      </c>
      <c r="J6" s="1">
        <f>[1]Gesamt!O8</f>
        <v>0</v>
      </c>
      <c r="K6" s="1">
        <f>[1]Gesamt!R8</f>
        <v>0</v>
      </c>
      <c r="L6" s="1">
        <f>[1]Gesamt!D8</f>
        <v>60</v>
      </c>
      <c r="M6" s="1">
        <f>[1]Gesamt!Y8</f>
        <v>0</v>
      </c>
      <c r="N6" s="1">
        <f>[1]Gesamt!V8</f>
        <v>0</v>
      </c>
      <c r="O6" s="1">
        <f>[1]Gesamt!M8</f>
        <v>0</v>
      </c>
      <c r="P6" s="1">
        <f>[1]Gesamt!P8</f>
        <v>0</v>
      </c>
      <c r="Q6" s="1">
        <f>[1]Gesamt!S8</f>
        <v>0</v>
      </c>
    </row>
    <row r="7" spans="1:17" s="1" customFormat="1" ht="21" customHeight="1" x14ac:dyDescent="0.45">
      <c r="B7" s="1" t="str">
        <f>[1]Gesamt!B9</f>
        <v>Bosse Kuhl</v>
      </c>
      <c r="C7" s="1">
        <v>23</v>
      </c>
      <c r="D7" s="1" t="s">
        <v>23</v>
      </c>
      <c r="E7" s="2">
        <v>43484</v>
      </c>
      <c r="F7" s="1">
        <f>[1]Gesamt!C9</f>
        <v>60</v>
      </c>
      <c r="G7" s="1">
        <f>[1]Gesamt!X9</f>
        <v>0</v>
      </c>
      <c r="H7" s="1">
        <f>[1]Gesamt!U9</f>
        <v>0</v>
      </c>
      <c r="I7" s="1">
        <f>[1]Gesamt!L9</f>
        <v>0</v>
      </c>
      <c r="J7" s="1">
        <f>[1]Gesamt!O9</f>
        <v>0</v>
      </c>
      <c r="K7" s="1">
        <f>[1]Gesamt!R9</f>
        <v>0</v>
      </c>
      <c r="L7" s="1">
        <f>[1]Gesamt!D9</f>
        <v>1018</v>
      </c>
      <c r="M7" s="1">
        <f>[1]Gesamt!Y9</f>
        <v>8</v>
      </c>
      <c r="N7" s="1">
        <f>[1]Gesamt!V9</f>
        <v>6</v>
      </c>
      <c r="O7" s="1">
        <f>[1]Gesamt!M9</f>
        <v>0</v>
      </c>
      <c r="P7" s="1">
        <f>[1]Gesamt!P9</f>
        <v>0</v>
      </c>
      <c r="Q7" s="1">
        <f>[1]Gesamt!S9</f>
        <v>0</v>
      </c>
    </row>
    <row r="8" spans="1:17" s="1" customFormat="1" ht="21" customHeight="1" x14ac:dyDescent="0.45">
      <c r="B8" s="1" t="str">
        <f>[1]Gesamt!B10</f>
        <v>Chris Hansen</v>
      </c>
      <c r="D8" s="1" t="s">
        <v>0</v>
      </c>
      <c r="E8" s="2"/>
      <c r="F8" s="1">
        <f>[1]Gesamt!C10</f>
        <v>0</v>
      </c>
      <c r="G8" s="1">
        <f>[1]Gesamt!X10</f>
        <v>0</v>
      </c>
      <c r="H8" s="1">
        <f>[1]Gesamt!U10</f>
        <v>0</v>
      </c>
      <c r="I8" s="1">
        <f>[1]Gesamt!L10</f>
        <v>0</v>
      </c>
      <c r="J8" s="1">
        <f>[1]Gesamt!O10</f>
        <v>0</v>
      </c>
      <c r="K8" s="1">
        <f>[1]Gesamt!R10</f>
        <v>0</v>
      </c>
      <c r="L8" s="1">
        <f>[1]Gesamt!D10</f>
        <v>75</v>
      </c>
      <c r="M8" s="1">
        <f>[1]Gesamt!Y10</f>
        <v>1</v>
      </c>
      <c r="N8" s="1">
        <f>[1]Gesamt!V10</f>
        <v>1</v>
      </c>
      <c r="O8" s="1">
        <f>[1]Gesamt!M10</f>
        <v>0</v>
      </c>
      <c r="P8" s="1">
        <f>[1]Gesamt!P10</f>
        <v>0</v>
      </c>
      <c r="Q8" s="1">
        <f>[1]Gesamt!S10</f>
        <v>0</v>
      </c>
    </row>
    <row r="9" spans="1:17" s="1" customFormat="1" ht="21" customHeight="1" x14ac:dyDescent="0.45">
      <c r="B9" s="1" t="str">
        <f>[1]Gesamt!B11</f>
        <v>Christian Schnitker</v>
      </c>
      <c r="D9" s="1" t="s">
        <v>23</v>
      </c>
      <c r="E9" s="2"/>
      <c r="F9" s="1">
        <f>[1]Gesamt!C11</f>
        <v>0</v>
      </c>
      <c r="G9" s="1">
        <f>[1]Gesamt!X11</f>
        <v>0</v>
      </c>
      <c r="H9" s="1">
        <f>[1]Gesamt!U11</f>
        <v>0</v>
      </c>
      <c r="I9" s="1">
        <f>[1]Gesamt!L11</f>
        <v>0</v>
      </c>
      <c r="J9" s="1">
        <f>[1]Gesamt!O11</f>
        <v>0</v>
      </c>
      <c r="K9" s="1">
        <f>[1]Gesamt!R11</f>
        <v>0</v>
      </c>
      <c r="L9" s="1">
        <f>[1]Gesamt!D11</f>
        <v>170</v>
      </c>
      <c r="M9" s="1">
        <f>[1]Gesamt!Y11</f>
        <v>0</v>
      </c>
      <c r="N9" s="1">
        <f>[1]Gesamt!V11</f>
        <v>1</v>
      </c>
      <c r="O9" s="1">
        <f>[1]Gesamt!M11</f>
        <v>0</v>
      </c>
      <c r="P9" s="1">
        <f>[1]Gesamt!P11</f>
        <v>0</v>
      </c>
      <c r="Q9" s="1">
        <f>[1]Gesamt!S11</f>
        <v>0</v>
      </c>
    </row>
    <row r="10" spans="1:17" s="1" customFormat="1" ht="21" customHeight="1" x14ac:dyDescent="0.45">
      <c r="B10" s="1" t="str">
        <f>[1]Gesamt!B12</f>
        <v>Christoph Seibert</v>
      </c>
      <c r="C10" s="1">
        <v>13</v>
      </c>
      <c r="D10" s="1" t="s">
        <v>0</v>
      </c>
      <c r="E10" s="2">
        <v>41103</v>
      </c>
      <c r="F10" s="1">
        <f>[1]Gesamt!C12</f>
        <v>896</v>
      </c>
      <c r="G10" s="1">
        <f>[1]Gesamt!X12</f>
        <v>2</v>
      </c>
      <c r="H10" s="1">
        <f>[1]Gesamt!U12</f>
        <v>2</v>
      </c>
      <c r="I10" s="1">
        <f>[1]Gesamt!L12</f>
        <v>1</v>
      </c>
      <c r="J10" s="1">
        <f>[1]Gesamt!O12</f>
        <v>0</v>
      </c>
      <c r="K10" s="1">
        <f>[1]Gesamt!R12</f>
        <v>0</v>
      </c>
      <c r="L10" s="1">
        <f>[1]Gesamt!D12</f>
        <v>180</v>
      </c>
      <c r="M10" s="1">
        <f>[1]Gesamt!Y12</f>
        <v>2</v>
      </c>
      <c r="N10" s="1">
        <f>[1]Gesamt!V12</f>
        <v>0</v>
      </c>
      <c r="O10" s="1">
        <f>[1]Gesamt!M12</f>
        <v>0</v>
      </c>
      <c r="P10" s="1">
        <f>[1]Gesamt!P12</f>
        <v>0</v>
      </c>
      <c r="Q10" s="1">
        <f>[1]Gesamt!S12</f>
        <v>0</v>
      </c>
    </row>
    <row r="11" spans="1:17" s="1" customFormat="1" ht="21" customHeight="1" x14ac:dyDescent="0.45">
      <c r="A11" s="1" t="s">
        <v>26</v>
      </c>
      <c r="B11" s="1" t="str">
        <f>[1]Gesamt!B13</f>
        <v>Erick Ehlers</v>
      </c>
      <c r="C11" s="1">
        <v>27</v>
      </c>
      <c r="D11" s="1" t="s">
        <v>24</v>
      </c>
      <c r="E11" s="2">
        <v>45474</v>
      </c>
      <c r="F11" s="1">
        <f>[1]Gesamt!C13</f>
        <v>1973</v>
      </c>
      <c r="G11" s="1">
        <f>[1]Gesamt!X13</f>
        <v>0</v>
      </c>
      <c r="H11" s="1">
        <f>[1]Gesamt!U13</f>
        <v>1</v>
      </c>
      <c r="I11" s="1">
        <f>[1]Gesamt!L13</f>
        <v>1</v>
      </c>
      <c r="J11" s="1">
        <f>[1]Gesamt!O13</f>
        <v>0</v>
      </c>
      <c r="K11" s="1">
        <f>[1]Gesamt!R13</f>
        <v>1</v>
      </c>
      <c r="L11" s="1">
        <f>[1]Gesamt!D13</f>
        <v>90</v>
      </c>
      <c r="M11" s="1">
        <f>[1]Gesamt!Y13</f>
        <v>0</v>
      </c>
      <c r="N11" s="1">
        <f>[1]Gesamt!V13</f>
        <v>1</v>
      </c>
      <c r="O11" s="1">
        <f>[1]Gesamt!M13</f>
        <v>1</v>
      </c>
      <c r="P11" s="1">
        <f>[1]Gesamt!P13</f>
        <v>0</v>
      </c>
      <c r="Q11" s="1">
        <f>[1]Gesamt!S13</f>
        <v>0</v>
      </c>
    </row>
    <row r="12" spans="1:17" s="1" customFormat="1" ht="21" customHeight="1" x14ac:dyDescent="0.45">
      <c r="B12" s="1" t="str">
        <f>[1]Gesamt!B14</f>
        <v>Erik Mohr</v>
      </c>
      <c r="C12" s="1">
        <v>1</v>
      </c>
      <c r="D12" s="1" t="s">
        <v>24</v>
      </c>
      <c r="E12" s="2">
        <v>37825</v>
      </c>
      <c r="F12" s="1">
        <f>[1]Gesamt!C14</f>
        <v>0</v>
      </c>
      <c r="G12" s="1">
        <f>[1]Gesamt!X14</f>
        <v>0</v>
      </c>
      <c r="H12" s="1">
        <f>[1]Gesamt!U14</f>
        <v>0</v>
      </c>
      <c r="I12" s="1">
        <f>[1]Gesamt!L14</f>
        <v>0</v>
      </c>
      <c r="J12" s="1">
        <f>[1]Gesamt!O14</f>
        <v>0</v>
      </c>
      <c r="K12" s="1">
        <f>[1]Gesamt!R14</f>
        <v>0</v>
      </c>
      <c r="L12" s="1">
        <f>[1]Gesamt!D14</f>
        <v>552</v>
      </c>
      <c r="M12" s="1">
        <f>[1]Gesamt!Y14</f>
        <v>0</v>
      </c>
      <c r="N12" s="1">
        <f>[1]Gesamt!V14</f>
        <v>0</v>
      </c>
      <c r="O12" s="1">
        <f>[1]Gesamt!M14</f>
        <v>2</v>
      </c>
      <c r="P12" s="1">
        <f>[1]Gesamt!P14</f>
        <v>0</v>
      </c>
      <c r="Q12" s="1">
        <f>[1]Gesamt!S14</f>
        <v>0</v>
      </c>
    </row>
    <row r="13" spans="1:17" s="1" customFormat="1" ht="21" customHeight="1" x14ac:dyDescent="0.45">
      <c r="A13" s="1" t="s">
        <v>27</v>
      </c>
      <c r="B13" s="1" t="str">
        <f>[1]Gesamt!B15</f>
        <v>Fabrice Christl</v>
      </c>
      <c r="C13" s="1">
        <v>1</v>
      </c>
      <c r="D13" s="1" t="s">
        <v>24</v>
      </c>
      <c r="E13" s="2">
        <v>45732</v>
      </c>
      <c r="F13" s="1">
        <f>[1]Gesamt!C15</f>
        <v>0</v>
      </c>
      <c r="G13" s="1">
        <f>[1]Gesamt!X15</f>
        <v>0</v>
      </c>
      <c r="H13" s="1">
        <f>[1]Gesamt!U15</f>
        <v>0</v>
      </c>
      <c r="I13" s="1">
        <f>[1]Gesamt!L15</f>
        <v>0</v>
      </c>
      <c r="J13" s="1">
        <f>[1]Gesamt!O15</f>
        <v>0</v>
      </c>
      <c r="K13" s="1">
        <f>[1]Gesamt!R15</f>
        <v>0</v>
      </c>
      <c r="L13" s="1">
        <f>[1]Gesamt!D15</f>
        <v>1350</v>
      </c>
      <c r="M13" s="1">
        <f>[1]Gesamt!Y15</f>
        <v>0</v>
      </c>
      <c r="N13" s="1">
        <f>[1]Gesamt!V15</f>
        <v>1</v>
      </c>
      <c r="O13" s="1">
        <f>[1]Gesamt!M15</f>
        <v>0</v>
      </c>
      <c r="P13" s="1">
        <f>[1]Gesamt!P15</f>
        <v>0</v>
      </c>
      <c r="Q13" s="1">
        <f>[1]Gesamt!S15</f>
        <v>0</v>
      </c>
    </row>
    <row r="14" spans="1:17" s="1" customFormat="1" ht="21" customHeight="1" x14ac:dyDescent="0.45">
      <c r="A14" s="1" t="s">
        <v>31</v>
      </c>
      <c r="B14" s="1" t="str">
        <f>[1]Gesamt!B16</f>
        <v>Finn Paulinski</v>
      </c>
      <c r="C14" s="1">
        <v>10</v>
      </c>
      <c r="D14" s="1" t="s">
        <v>0</v>
      </c>
      <c r="E14" s="2">
        <v>39332</v>
      </c>
      <c r="F14" s="1">
        <f>[1]Gesamt!C16</f>
        <v>740</v>
      </c>
      <c r="G14" s="1">
        <f>[1]Gesamt!X16</f>
        <v>2</v>
      </c>
      <c r="H14" s="1">
        <f>[1]Gesamt!U16</f>
        <v>1</v>
      </c>
      <c r="I14" s="1">
        <f>[1]Gesamt!L16</f>
        <v>1</v>
      </c>
      <c r="J14" s="1">
        <f>[1]Gesamt!O16</f>
        <v>0</v>
      </c>
      <c r="K14" s="1">
        <f>[1]Gesamt!R16</f>
        <v>0</v>
      </c>
      <c r="L14" s="1">
        <f>[1]Gesamt!D16</f>
        <v>600</v>
      </c>
      <c r="M14" s="1">
        <f>[1]Gesamt!Y16</f>
        <v>2</v>
      </c>
      <c r="N14" s="1">
        <f>[1]Gesamt!V16</f>
        <v>4</v>
      </c>
      <c r="O14" s="1">
        <f>[1]Gesamt!M16</f>
        <v>0</v>
      </c>
      <c r="P14" s="1">
        <f>[1]Gesamt!P16</f>
        <v>0</v>
      </c>
      <c r="Q14" s="1">
        <f>[1]Gesamt!S16</f>
        <v>0</v>
      </c>
    </row>
    <row r="15" spans="1:17" s="1" customFormat="1" ht="21" customHeight="1" x14ac:dyDescent="0.45">
      <c r="A15" s="1" t="s">
        <v>28</v>
      </c>
      <c r="B15" s="1" t="str">
        <f>[1]Gesamt!B17</f>
        <v>Florian Höhndorf</v>
      </c>
      <c r="C15" s="1">
        <v>2</v>
      </c>
      <c r="D15" s="1" t="s">
        <v>20</v>
      </c>
      <c r="E15" s="2">
        <v>45869</v>
      </c>
      <c r="F15" s="1">
        <f>[1]Gesamt!C17</f>
        <v>169</v>
      </c>
      <c r="G15" s="1">
        <f>[1]Gesamt!X17</f>
        <v>0</v>
      </c>
      <c r="H15" s="1">
        <f>[1]Gesamt!U17</f>
        <v>0</v>
      </c>
      <c r="I15" s="1">
        <f>[1]Gesamt!L17</f>
        <v>1</v>
      </c>
      <c r="J15" s="1">
        <f>[1]Gesamt!O17</f>
        <v>0</v>
      </c>
      <c r="K15" s="1">
        <f>[1]Gesamt!R17</f>
        <v>0</v>
      </c>
      <c r="L15" s="1">
        <f>[1]Gesamt!D17</f>
        <v>1615</v>
      </c>
      <c r="M15" s="1">
        <f>[1]Gesamt!Y17</f>
        <v>2</v>
      </c>
      <c r="N15" s="1">
        <f>[1]Gesamt!V17</f>
        <v>4</v>
      </c>
      <c r="O15" s="1">
        <f>[1]Gesamt!M17</f>
        <v>2</v>
      </c>
      <c r="P15" s="1">
        <f>[1]Gesamt!P17</f>
        <v>0</v>
      </c>
      <c r="Q15" s="1">
        <f>[1]Gesamt!S17</f>
        <v>0</v>
      </c>
    </row>
    <row r="16" spans="1:17" s="1" customFormat="1" ht="21" customHeight="1" x14ac:dyDescent="0.45">
      <c r="B16" s="1" t="str">
        <f>[1]Gesamt!B18</f>
        <v>Hennes Makoben</v>
      </c>
      <c r="C16" s="1">
        <v>17</v>
      </c>
      <c r="D16" s="1" t="s">
        <v>0</v>
      </c>
      <c r="E16" s="2">
        <v>41509</v>
      </c>
      <c r="F16" s="1">
        <f>[1]Gesamt!C18</f>
        <v>0</v>
      </c>
      <c r="G16" s="1">
        <f>[1]Gesamt!X18</f>
        <v>0</v>
      </c>
      <c r="H16" s="1">
        <f>[1]Gesamt!U18</f>
        <v>0</v>
      </c>
      <c r="I16" s="1">
        <f>[1]Gesamt!L18</f>
        <v>0</v>
      </c>
      <c r="J16" s="1">
        <f>[1]Gesamt!O18</f>
        <v>0</v>
      </c>
      <c r="K16" s="1">
        <f>[1]Gesamt!R18</f>
        <v>0</v>
      </c>
      <c r="L16" s="1">
        <f>[1]Gesamt!D18</f>
        <v>797</v>
      </c>
      <c r="M16" s="1">
        <f>[1]Gesamt!Y18</f>
        <v>2</v>
      </c>
      <c r="N16" s="1">
        <f>[1]Gesamt!V18</f>
        <v>2</v>
      </c>
      <c r="O16" s="1">
        <f>[1]Gesamt!M18</f>
        <v>1</v>
      </c>
      <c r="P16" s="1">
        <f>[1]Gesamt!P18</f>
        <v>0</v>
      </c>
      <c r="Q16" s="1">
        <f>[1]Gesamt!S18</f>
        <v>0</v>
      </c>
    </row>
    <row r="17" spans="1:17" s="1" customFormat="1" ht="21" customHeight="1" x14ac:dyDescent="0.45">
      <c r="B17" s="1" t="str">
        <f>[1]Gesamt!B19</f>
        <v>Jakob Rutscher</v>
      </c>
      <c r="C17" s="1">
        <v>5</v>
      </c>
      <c r="D17" s="1" t="s">
        <v>20</v>
      </c>
      <c r="E17" s="2">
        <v>42006</v>
      </c>
      <c r="F17" s="1">
        <f>[1]Gesamt!C19</f>
        <v>225</v>
      </c>
      <c r="G17" s="1">
        <f>[1]Gesamt!X19</f>
        <v>2</v>
      </c>
      <c r="H17" s="1">
        <f>[1]Gesamt!U19</f>
        <v>0</v>
      </c>
      <c r="I17" s="1">
        <f>[1]Gesamt!L19</f>
        <v>0</v>
      </c>
      <c r="J17" s="1">
        <f>[1]Gesamt!O19</f>
        <v>0</v>
      </c>
      <c r="K17" s="1">
        <f>[1]Gesamt!R19</f>
        <v>0</v>
      </c>
      <c r="L17" s="1">
        <f>[1]Gesamt!D19</f>
        <v>270</v>
      </c>
      <c r="M17" s="1">
        <f>[1]Gesamt!Y19</f>
        <v>3</v>
      </c>
      <c r="N17" s="1">
        <f>[1]Gesamt!V19</f>
        <v>0</v>
      </c>
      <c r="O17" s="1">
        <f>[1]Gesamt!M19</f>
        <v>0</v>
      </c>
      <c r="P17" s="1">
        <f>[1]Gesamt!P19</f>
        <v>0</v>
      </c>
      <c r="Q17" s="1">
        <f>[1]Gesamt!S19</f>
        <v>0</v>
      </c>
    </row>
    <row r="18" spans="1:17" s="1" customFormat="1" ht="21" customHeight="1" x14ac:dyDescent="0.45">
      <c r="B18" s="1" t="str">
        <f>[1]Gesamt!B20</f>
        <v>Jan-Emil Schäfer</v>
      </c>
      <c r="C18" s="1">
        <v>18</v>
      </c>
      <c r="D18" s="1" t="s">
        <v>23</v>
      </c>
      <c r="E18" s="2">
        <v>45867</v>
      </c>
      <c r="F18" s="1">
        <f>[1]Gesamt!C20</f>
        <v>1363</v>
      </c>
      <c r="G18" s="1">
        <f>[1]Gesamt!X20</f>
        <v>14</v>
      </c>
      <c r="H18" s="1">
        <f>[1]Gesamt!U20</f>
        <v>2</v>
      </c>
      <c r="I18" s="1">
        <f>[1]Gesamt!L20</f>
        <v>6</v>
      </c>
      <c r="J18" s="1">
        <f>[1]Gesamt!O20</f>
        <v>0</v>
      </c>
      <c r="K18" s="1">
        <f>[1]Gesamt!R20</f>
        <v>0</v>
      </c>
      <c r="L18" s="1">
        <f>[1]Gesamt!D20</f>
        <v>0</v>
      </c>
      <c r="M18" s="1">
        <f>[1]Gesamt!Y20</f>
        <v>0</v>
      </c>
      <c r="N18" s="1">
        <f>[1]Gesamt!V20</f>
        <v>0</v>
      </c>
      <c r="O18" s="1">
        <f>[1]Gesamt!M20</f>
        <v>0</v>
      </c>
      <c r="P18" s="1">
        <f>[1]Gesamt!P20</f>
        <v>0</v>
      </c>
      <c r="Q18" s="1">
        <f>[1]Gesamt!S20</f>
        <v>0</v>
      </c>
    </row>
    <row r="19" spans="1:17" s="1" customFormat="1" ht="21" customHeight="1" x14ac:dyDescent="0.45">
      <c r="B19" s="1" t="str">
        <f>[1]Gesamt!B21</f>
        <v>Jannek Bahr</v>
      </c>
      <c r="C19" s="1">
        <v>44</v>
      </c>
      <c r="D19" s="1" t="s">
        <v>24</v>
      </c>
      <c r="E19" s="2">
        <v>38134</v>
      </c>
      <c r="F19" s="1">
        <f>[1]Gesamt!C21</f>
        <v>270</v>
      </c>
      <c r="G19" s="1">
        <f>[1]Gesamt!X21</f>
        <v>0</v>
      </c>
      <c r="H19" s="1">
        <f>[1]Gesamt!U21</f>
        <v>0</v>
      </c>
      <c r="I19" s="1">
        <f>[1]Gesamt!L21</f>
        <v>2</v>
      </c>
      <c r="J19" s="1">
        <f>[1]Gesamt!O21</f>
        <v>0</v>
      </c>
      <c r="K19" s="1">
        <f>[1]Gesamt!R21</f>
        <v>0</v>
      </c>
      <c r="L19" s="1">
        <f>[1]Gesamt!D21</f>
        <v>131</v>
      </c>
      <c r="M19" s="1">
        <f>[1]Gesamt!Y21</f>
        <v>0</v>
      </c>
      <c r="N19" s="1">
        <f>[1]Gesamt!V21</f>
        <v>1</v>
      </c>
      <c r="O19" s="1">
        <f>[1]Gesamt!M21</f>
        <v>1</v>
      </c>
      <c r="P19" s="1">
        <f>[1]Gesamt!P21</f>
        <v>1</v>
      </c>
      <c r="Q19" s="1">
        <f>[1]Gesamt!S21</f>
        <v>0</v>
      </c>
    </row>
    <row r="20" spans="1:17" s="1" customFormat="1" ht="21" customHeight="1" x14ac:dyDescent="0.45">
      <c r="B20" s="1" t="str">
        <f>[1]Gesamt!B22</f>
        <v>Jannis Poerschke</v>
      </c>
      <c r="D20" s="1" t="s">
        <v>0</v>
      </c>
      <c r="E20" s="2">
        <v>45839</v>
      </c>
      <c r="F20" s="1">
        <f>[1]Gesamt!C22</f>
        <v>752</v>
      </c>
      <c r="G20" s="1">
        <f>[1]Gesamt!X22</f>
        <v>0</v>
      </c>
      <c r="H20" s="1">
        <f>[1]Gesamt!U22</f>
        <v>2</v>
      </c>
      <c r="I20" s="1">
        <f>[1]Gesamt!L22</f>
        <v>4</v>
      </c>
      <c r="J20" s="1">
        <f>[1]Gesamt!O22</f>
        <v>0</v>
      </c>
      <c r="K20" s="1">
        <f>[1]Gesamt!R22</f>
        <v>0</v>
      </c>
      <c r="L20" s="1">
        <f>[1]Gesamt!D22</f>
        <v>90</v>
      </c>
      <c r="M20" s="1">
        <f>[1]Gesamt!Y22</f>
        <v>0</v>
      </c>
      <c r="N20" s="1">
        <f>[1]Gesamt!V22</f>
        <v>0</v>
      </c>
      <c r="O20" s="1">
        <f>[1]Gesamt!M22</f>
        <v>0</v>
      </c>
      <c r="P20" s="1">
        <f>[1]Gesamt!P22</f>
        <v>0</v>
      </c>
      <c r="Q20" s="1">
        <f>[1]Gesamt!S22</f>
        <v>0</v>
      </c>
    </row>
    <row r="21" spans="1:17" s="1" customFormat="1" ht="21" customHeight="1" x14ac:dyDescent="0.45">
      <c r="B21" s="1" t="str">
        <f>[1]Gesamt!B23</f>
        <v>Johann Jahn</v>
      </c>
      <c r="D21" s="1" t="s">
        <v>23</v>
      </c>
      <c r="E21" s="2">
        <v>45870</v>
      </c>
      <c r="F21" s="1">
        <f>[1]Gesamt!C23</f>
        <v>0</v>
      </c>
      <c r="G21" s="1">
        <f>[1]Gesamt!X23</f>
        <v>0</v>
      </c>
      <c r="H21" s="1">
        <f>[1]Gesamt!U23</f>
        <v>0</v>
      </c>
      <c r="I21" s="1">
        <f>[1]Gesamt!L23</f>
        <v>0</v>
      </c>
      <c r="J21" s="1">
        <f>[1]Gesamt!O23</f>
        <v>0</v>
      </c>
      <c r="K21" s="1">
        <f>[1]Gesamt!R23</f>
        <v>0</v>
      </c>
      <c r="L21" s="1">
        <f>[1]Gesamt!D23</f>
        <v>1059</v>
      </c>
      <c r="M21" s="1">
        <f>[1]Gesamt!Y23</f>
        <v>3</v>
      </c>
      <c r="N21" s="1">
        <f>[1]Gesamt!V23</f>
        <v>0</v>
      </c>
      <c r="O21" s="1">
        <f>[1]Gesamt!M23</f>
        <v>0</v>
      </c>
      <c r="P21" s="1">
        <f>[1]Gesamt!P23</f>
        <v>0</v>
      </c>
      <c r="Q21" s="1">
        <f>[1]Gesamt!S23</f>
        <v>0</v>
      </c>
    </row>
    <row r="22" spans="1:17" s="1" customFormat="1" ht="21" customHeight="1" x14ac:dyDescent="0.45">
      <c r="A22" s="1" t="s">
        <v>29</v>
      </c>
      <c r="B22" s="1" t="str">
        <f>[1]Gesamt!B24</f>
        <v>Jonas Vogel</v>
      </c>
      <c r="C22" s="1">
        <v>7</v>
      </c>
      <c r="D22" s="1" t="s">
        <v>0</v>
      </c>
      <c r="E22" s="2">
        <v>39955</v>
      </c>
      <c r="F22" s="1">
        <f>[1]Gesamt!C24</f>
        <v>0</v>
      </c>
      <c r="G22" s="1">
        <f>[1]Gesamt!X24</f>
        <v>0</v>
      </c>
      <c r="H22" s="1">
        <f>[1]Gesamt!U24</f>
        <v>0</v>
      </c>
      <c r="I22" s="1">
        <f>[1]Gesamt!L24</f>
        <v>0</v>
      </c>
      <c r="J22" s="1">
        <f>[1]Gesamt!O24</f>
        <v>0</v>
      </c>
      <c r="K22" s="1">
        <f>[1]Gesamt!R24</f>
        <v>0</v>
      </c>
      <c r="L22" s="1">
        <f>[1]Gesamt!D24</f>
        <v>985</v>
      </c>
      <c r="M22" s="1">
        <f>[1]Gesamt!Y24</f>
        <v>2</v>
      </c>
      <c r="N22" s="1">
        <f>[1]Gesamt!V24</f>
        <v>4</v>
      </c>
      <c r="O22" s="1">
        <f>[1]Gesamt!M24</f>
        <v>1</v>
      </c>
      <c r="P22" s="1">
        <f>[1]Gesamt!P24</f>
        <v>0</v>
      </c>
      <c r="Q22" s="1">
        <f>[1]Gesamt!S24</f>
        <v>0</v>
      </c>
    </row>
    <row r="23" spans="1:17" s="1" customFormat="1" ht="21" customHeight="1" x14ac:dyDescent="0.45">
      <c r="B23" s="1" t="str">
        <f>[1]Gesamt!B25</f>
        <v>Justin Schink</v>
      </c>
      <c r="C23" s="1">
        <v>11</v>
      </c>
      <c r="D23" s="1" t="s">
        <v>23</v>
      </c>
      <c r="E23" s="2">
        <v>39787</v>
      </c>
      <c r="F23" s="1">
        <f>[1]Gesamt!C25</f>
        <v>0</v>
      </c>
      <c r="G23" s="1">
        <f>[1]Gesamt!X25</f>
        <v>0</v>
      </c>
      <c r="H23" s="1">
        <f>[1]Gesamt!U25</f>
        <v>0</v>
      </c>
      <c r="I23" s="1">
        <f>[1]Gesamt!L25</f>
        <v>0</v>
      </c>
      <c r="J23" s="1">
        <f>[1]Gesamt!O25</f>
        <v>0</v>
      </c>
      <c r="K23" s="1">
        <f>[1]Gesamt!R25</f>
        <v>0</v>
      </c>
      <c r="L23" s="1">
        <f>[1]Gesamt!D25</f>
        <v>420</v>
      </c>
      <c r="M23" s="1">
        <f>[1]Gesamt!Y25</f>
        <v>0</v>
      </c>
      <c r="N23" s="1">
        <f>[1]Gesamt!V25</f>
        <v>0</v>
      </c>
      <c r="O23" s="1">
        <f>[1]Gesamt!M25</f>
        <v>0</v>
      </c>
      <c r="P23" s="1">
        <f>[1]Gesamt!P25</f>
        <v>0</v>
      </c>
      <c r="Q23" s="1">
        <f>[1]Gesamt!S25</f>
        <v>0</v>
      </c>
    </row>
    <row r="24" spans="1:17" s="1" customFormat="1" ht="21" customHeight="1" x14ac:dyDescent="0.45">
      <c r="B24" s="1" t="str">
        <f>[1]Gesamt!B26</f>
        <v>Kevin Bressler</v>
      </c>
      <c r="D24" s="1" t="s">
        <v>0</v>
      </c>
      <c r="E24" s="2">
        <v>37536</v>
      </c>
      <c r="F24" s="1">
        <f>[1]Gesamt!C26</f>
        <v>0</v>
      </c>
      <c r="G24" s="1">
        <f>[1]Gesamt!X26</f>
        <v>0</v>
      </c>
      <c r="H24" s="1">
        <f>[1]Gesamt!U26</f>
        <v>0</v>
      </c>
      <c r="I24" s="1">
        <f>[1]Gesamt!L26</f>
        <v>0</v>
      </c>
      <c r="J24" s="1">
        <f>[1]Gesamt!O26</f>
        <v>0</v>
      </c>
      <c r="K24" s="1">
        <f>[1]Gesamt!R26</f>
        <v>0</v>
      </c>
      <c r="L24" s="1">
        <f>[1]Gesamt!D26</f>
        <v>285</v>
      </c>
      <c r="M24" s="1">
        <f>[1]Gesamt!Y26</f>
        <v>0</v>
      </c>
      <c r="N24" s="1">
        <f>[1]Gesamt!V26</f>
        <v>0</v>
      </c>
      <c r="O24" s="1">
        <f>[1]Gesamt!M26</f>
        <v>0</v>
      </c>
      <c r="P24" s="1">
        <f>[1]Gesamt!P26</f>
        <v>0</v>
      </c>
      <c r="Q24" s="1">
        <f>[1]Gesamt!S26</f>
        <v>0</v>
      </c>
    </row>
    <row r="25" spans="1:17" s="1" customFormat="1" ht="21" customHeight="1" x14ac:dyDescent="0.45">
      <c r="A25" s="1" t="s">
        <v>25</v>
      </c>
      <c r="B25" s="1" t="str">
        <f>[1]Gesamt!B27</f>
        <v>Kevin Langbehn</v>
      </c>
      <c r="C25" s="1">
        <v>22</v>
      </c>
      <c r="D25" s="1" t="s">
        <v>23</v>
      </c>
      <c r="E25" s="2">
        <v>45303</v>
      </c>
      <c r="F25" s="1">
        <f>[1]Gesamt!C27</f>
        <v>1143</v>
      </c>
      <c r="G25" s="1">
        <f>[1]Gesamt!X27</f>
        <v>8</v>
      </c>
      <c r="H25" s="1">
        <f>[1]Gesamt!U27</f>
        <v>7</v>
      </c>
      <c r="I25" s="1">
        <f>[1]Gesamt!L27</f>
        <v>10</v>
      </c>
      <c r="J25" s="1">
        <f>[1]Gesamt!O27</f>
        <v>1</v>
      </c>
      <c r="K25" s="1">
        <f>[1]Gesamt!R27</f>
        <v>0</v>
      </c>
      <c r="L25" s="1">
        <f>[1]Gesamt!D27</f>
        <v>80</v>
      </c>
      <c r="M25" s="1">
        <f>[1]Gesamt!Y27</f>
        <v>4</v>
      </c>
      <c r="N25" s="1">
        <f>[1]Gesamt!V27</f>
        <v>0</v>
      </c>
      <c r="O25" s="1">
        <f>[1]Gesamt!M27</f>
        <v>0</v>
      </c>
      <c r="P25" s="1">
        <f>[1]Gesamt!P27</f>
        <v>0</v>
      </c>
      <c r="Q25" s="1">
        <f>[1]Gesamt!S27</f>
        <v>0</v>
      </c>
    </row>
    <row r="26" spans="1:17" s="1" customFormat="1" ht="21" customHeight="1" x14ac:dyDescent="0.45">
      <c r="B26" s="1" t="str">
        <f>[1]Gesamt!B28</f>
        <v>Kian Petersen</v>
      </c>
      <c r="C26" s="1">
        <v>11</v>
      </c>
      <c r="D26" s="1" t="s">
        <v>0</v>
      </c>
      <c r="E26" s="2">
        <v>41176</v>
      </c>
      <c r="F26" s="1">
        <f>[1]Gesamt!C28</f>
        <v>1513</v>
      </c>
      <c r="G26" s="1">
        <f>[1]Gesamt!X28</f>
        <v>0</v>
      </c>
      <c r="H26" s="1">
        <f>[1]Gesamt!U28</f>
        <v>7</v>
      </c>
      <c r="I26" s="1">
        <f>[1]Gesamt!L28</f>
        <v>3</v>
      </c>
      <c r="J26" s="1">
        <f>[1]Gesamt!O28</f>
        <v>0</v>
      </c>
      <c r="K26" s="1">
        <f>[1]Gesamt!R28</f>
        <v>0</v>
      </c>
      <c r="L26" s="1">
        <f>[1]Gesamt!D28</f>
        <v>0</v>
      </c>
      <c r="M26" s="1">
        <f>[1]Gesamt!Y28</f>
        <v>0</v>
      </c>
      <c r="N26" s="1">
        <f>[1]Gesamt!V28</f>
        <v>0</v>
      </c>
      <c r="O26" s="1">
        <f>[1]Gesamt!M28</f>
        <v>0</v>
      </c>
      <c r="P26" s="1">
        <f>[1]Gesamt!P28</f>
        <v>0</v>
      </c>
      <c r="Q26" s="1">
        <f>[1]Gesamt!S28</f>
        <v>0</v>
      </c>
    </row>
    <row r="27" spans="1:17" s="1" customFormat="1" ht="21" customHeight="1" x14ac:dyDescent="0.45">
      <c r="B27" s="1" t="str">
        <f>[1]Gesamt!B29</f>
        <v>Kjell Schröder</v>
      </c>
      <c r="C27" s="1">
        <v>19</v>
      </c>
      <c r="D27" s="1" t="s">
        <v>0</v>
      </c>
      <c r="E27" s="2">
        <v>38965</v>
      </c>
      <c r="F27" s="1">
        <f>[1]Gesamt!C29</f>
        <v>146</v>
      </c>
      <c r="G27" s="1">
        <f>[1]Gesamt!X29</f>
        <v>0</v>
      </c>
      <c r="H27" s="1">
        <f>[1]Gesamt!U29</f>
        <v>0</v>
      </c>
      <c r="I27" s="1">
        <f>[1]Gesamt!L29</f>
        <v>1</v>
      </c>
      <c r="J27" s="1">
        <f>[1]Gesamt!O29</f>
        <v>0</v>
      </c>
      <c r="K27" s="1">
        <f>[1]Gesamt!R29</f>
        <v>0</v>
      </c>
      <c r="L27" s="1">
        <f>[1]Gesamt!D29</f>
        <v>290</v>
      </c>
      <c r="M27" s="1">
        <f>[1]Gesamt!Y29</f>
        <v>2</v>
      </c>
      <c r="N27" s="1">
        <f>[1]Gesamt!V29</f>
        <v>2</v>
      </c>
      <c r="O27" s="1">
        <f>[1]Gesamt!M29</f>
        <v>0</v>
      </c>
      <c r="P27" s="1">
        <f>[1]Gesamt!P29</f>
        <v>0</v>
      </c>
      <c r="Q27" s="1">
        <f>[1]Gesamt!S29</f>
        <v>0</v>
      </c>
    </row>
    <row r="28" spans="1:17" s="1" customFormat="1" ht="21" customHeight="1" x14ac:dyDescent="0.45">
      <c r="B28" s="1" t="str">
        <f>[1]Gesamt!B30</f>
        <v>Lukas Koppe</v>
      </c>
      <c r="C28" s="1">
        <v>22</v>
      </c>
      <c r="D28" s="1" t="s">
        <v>20</v>
      </c>
      <c r="E28" s="2">
        <v>45350</v>
      </c>
      <c r="F28" s="1">
        <f>[1]Gesamt!C30</f>
        <v>323</v>
      </c>
      <c r="G28" s="1">
        <f>[1]Gesamt!X30</f>
        <v>0</v>
      </c>
      <c r="H28" s="1">
        <f>[1]Gesamt!U30</f>
        <v>0</v>
      </c>
      <c r="I28" s="1">
        <f>[1]Gesamt!L30</f>
        <v>0</v>
      </c>
      <c r="J28" s="1">
        <f>[1]Gesamt!O30</f>
        <v>0</v>
      </c>
      <c r="K28" s="1">
        <f>[1]Gesamt!R30</f>
        <v>0</v>
      </c>
      <c r="L28" s="1">
        <f>[1]Gesamt!D30</f>
        <v>595</v>
      </c>
      <c r="M28" s="1">
        <f>[1]Gesamt!Y30</f>
        <v>2</v>
      </c>
      <c r="N28" s="1">
        <f>[1]Gesamt!V30</f>
        <v>0</v>
      </c>
      <c r="O28" s="1">
        <f>[1]Gesamt!M30</f>
        <v>0</v>
      </c>
      <c r="P28" s="1">
        <f>[1]Gesamt!P30</f>
        <v>0</v>
      </c>
      <c r="Q28" s="1">
        <f>[1]Gesamt!S30</f>
        <v>0</v>
      </c>
    </row>
    <row r="29" spans="1:17" s="1" customFormat="1" ht="21" customHeight="1" x14ac:dyDescent="0.45">
      <c r="B29" s="1" t="str">
        <f>[1]Gesamt!B31</f>
        <v>Maik Heisterkamp</v>
      </c>
      <c r="D29" s="1" t="s">
        <v>0</v>
      </c>
      <c r="E29" s="2"/>
      <c r="F29" s="1">
        <f>[1]Gesamt!C31</f>
        <v>0</v>
      </c>
      <c r="G29" s="1">
        <f>[1]Gesamt!X31</f>
        <v>0</v>
      </c>
      <c r="H29" s="1">
        <f>[1]Gesamt!U31</f>
        <v>0</v>
      </c>
      <c r="I29" s="1">
        <f>[1]Gesamt!L31</f>
        <v>0</v>
      </c>
      <c r="J29" s="1">
        <f>[1]Gesamt!O31</f>
        <v>0</v>
      </c>
      <c r="K29" s="1">
        <f>[1]Gesamt!R31</f>
        <v>0</v>
      </c>
      <c r="L29" s="1">
        <f>[1]Gesamt!D31</f>
        <v>911</v>
      </c>
      <c r="M29" s="1">
        <f>[1]Gesamt!Y31</f>
        <v>5</v>
      </c>
      <c r="N29" s="1">
        <f>[1]Gesamt!V31</f>
        <v>1</v>
      </c>
      <c r="O29" s="1">
        <f>[1]Gesamt!M31</f>
        <v>3</v>
      </c>
      <c r="P29" s="1">
        <f>[1]Gesamt!P31</f>
        <v>0</v>
      </c>
      <c r="Q29" s="1">
        <f>[1]Gesamt!S31</f>
        <v>0</v>
      </c>
    </row>
    <row r="30" spans="1:17" s="1" customFormat="1" ht="21" customHeight="1" x14ac:dyDescent="0.45">
      <c r="A30" s="1" t="s">
        <v>21</v>
      </c>
      <c r="B30" s="1" t="str">
        <f>[1]Gesamt!B32</f>
        <v>Marcel Nass</v>
      </c>
      <c r="C30" s="1">
        <v>6</v>
      </c>
      <c r="D30" s="1" t="s">
        <v>0</v>
      </c>
      <c r="E30" s="2">
        <v>37904</v>
      </c>
      <c r="F30" s="1">
        <f>[1]Gesamt!C32</f>
        <v>1826</v>
      </c>
      <c r="G30" s="1">
        <f>[1]Gesamt!X32</f>
        <v>0</v>
      </c>
      <c r="H30" s="1">
        <f>[1]Gesamt!U32</f>
        <v>0</v>
      </c>
      <c r="I30" s="1">
        <f>[1]Gesamt!L32</f>
        <v>4</v>
      </c>
      <c r="J30" s="1">
        <f>[1]Gesamt!O32</f>
        <v>0</v>
      </c>
      <c r="K30" s="1">
        <f>[1]Gesamt!R32</f>
        <v>0</v>
      </c>
      <c r="L30" s="1">
        <f>[1]Gesamt!D32</f>
        <v>0</v>
      </c>
      <c r="M30" s="1">
        <f>[1]Gesamt!Y32</f>
        <v>0</v>
      </c>
      <c r="N30" s="1">
        <f>[1]Gesamt!V32</f>
        <v>0</v>
      </c>
      <c r="O30" s="1">
        <f>[1]Gesamt!M32</f>
        <v>0</v>
      </c>
      <c r="P30" s="1">
        <f>[1]Gesamt!P32</f>
        <v>0</v>
      </c>
      <c r="Q30" s="1">
        <f>[1]Gesamt!S32</f>
        <v>0</v>
      </c>
    </row>
    <row r="31" spans="1:17" s="1" customFormat="1" ht="21" customHeight="1" x14ac:dyDescent="0.45">
      <c r="B31" s="1" t="str">
        <f>[1]Gesamt!B33</f>
        <v>Marcel Sydow</v>
      </c>
      <c r="E31" s="2"/>
      <c r="F31" s="1">
        <f>[1]Gesamt!C33</f>
        <v>0</v>
      </c>
      <c r="G31" s="1">
        <f>[1]Gesamt!X33</f>
        <v>0</v>
      </c>
      <c r="H31" s="1">
        <f>[1]Gesamt!U33</f>
        <v>0</v>
      </c>
      <c r="I31" s="1">
        <f>[1]Gesamt!L33</f>
        <v>0</v>
      </c>
      <c r="J31" s="1">
        <f>[1]Gesamt!O33</f>
        <v>0</v>
      </c>
      <c r="K31" s="1">
        <f>[1]Gesamt!R33</f>
        <v>0</v>
      </c>
      <c r="L31" s="1">
        <f>[1]Gesamt!D33</f>
        <v>149</v>
      </c>
      <c r="M31" s="1">
        <f>[1]Gesamt!Y33</f>
        <v>0</v>
      </c>
      <c r="N31" s="1">
        <f>[1]Gesamt!V33</f>
        <v>0</v>
      </c>
      <c r="O31" s="1">
        <f>[1]Gesamt!M33</f>
        <v>0</v>
      </c>
      <c r="P31" s="1">
        <f>[1]Gesamt!P33</f>
        <v>0</v>
      </c>
      <c r="Q31" s="1">
        <f>[1]Gesamt!S33</f>
        <v>0</v>
      </c>
    </row>
    <row r="32" spans="1:17" s="1" customFormat="1" ht="21" customHeight="1" x14ac:dyDescent="0.45">
      <c r="B32" s="1" t="str">
        <f>[1]Gesamt!B34</f>
        <v>Marek Stickelbruck</v>
      </c>
      <c r="C32" s="1">
        <v>21</v>
      </c>
      <c r="D32" s="1" t="s">
        <v>23</v>
      </c>
      <c r="E32" s="2">
        <v>45839</v>
      </c>
      <c r="F32" s="1">
        <f>[1]Gesamt!C34</f>
        <v>505</v>
      </c>
      <c r="G32" s="1">
        <f>[1]Gesamt!X34</f>
        <v>3</v>
      </c>
      <c r="H32" s="1">
        <f>[1]Gesamt!U34</f>
        <v>0</v>
      </c>
      <c r="I32" s="1">
        <f>[1]Gesamt!L34</f>
        <v>0</v>
      </c>
      <c r="J32" s="1">
        <f>[1]Gesamt!O34</f>
        <v>0</v>
      </c>
      <c r="K32" s="1">
        <f>[1]Gesamt!R34</f>
        <v>0</v>
      </c>
      <c r="L32" s="1">
        <f>[1]Gesamt!D34</f>
        <v>175</v>
      </c>
      <c r="M32" s="1">
        <f>[1]Gesamt!Y34</f>
        <v>1</v>
      </c>
      <c r="N32" s="1">
        <f>[1]Gesamt!V34</f>
        <v>1</v>
      </c>
      <c r="O32" s="1">
        <f>[1]Gesamt!M34</f>
        <v>0</v>
      </c>
      <c r="P32" s="1">
        <f>[1]Gesamt!P34</f>
        <v>0</v>
      </c>
      <c r="Q32" s="1">
        <f>[1]Gesamt!S34</f>
        <v>0</v>
      </c>
    </row>
    <row r="33" spans="1:17" s="1" customFormat="1" ht="21" customHeight="1" x14ac:dyDescent="0.45">
      <c r="B33" s="1" t="str">
        <f>[1]Gesamt!B35</f>
        <v>Matti Bade</v>
      </c>
      <c r="C33" s="1">
        <v>9</v>
      </c>
      <c r="D33" s="1" t="s">
        <v>23</v>
      </c>
      <c r="E33" s="2">
        <v>45477</v>
      </c>
      <c r="F33" s="1">
        <f>[1]Gesamt!C35</f>
        <v>1439</v>
      </c>
      <c r="G33" s="1">
        <f>[1]Gesamt!X35</f>
        <v>7</v>
      </c>
      <c r="H33" s="1">
        <f>[1]Gesamt!U35</f>
        <v>1</v>
      </c>
      <c r="I33" s="1">
        <f>[1]Gesamt!L35</f>
        <v>9</v>
      </c>
      <c r="J33" s="1">
        <f>[1]Gesamt!O35</f>
        <v>0</v>
      </c>
      <c r="K33" s="1">
        <f>[1]Gesamt!R35</f>
        <v>0</v>
      </c>
      <c r="L33" s="1">
        <f>[1]Gesamt!D35</f>
        <v>90</v>
      </c>
      <c r="M33" s="1">
        <f>[1]Gesamt!Y35</f>
        <v>0</v>
      </c>
      <c r="N33" s="1">
        <f>[1]Gesamt!V35</f>
        <v>0</v>
      </c>
      <c r="O33" s="1">
        <f>[1]Gesamt!M35</f>
        <v>0</v>
      </c>
      <c r="P33" s="1">
        <f>[1]Gesamt!P35</f>
        <v>0</v>
      </c>
      <c r="Q33" s="1">
        <f>[1]Gesamt!S35</f>
        <v>0</v>
      </c>
    </row>
    <row r="34" spans="1:17" s="1" customFormat="1" ht="21" customHeight="1" x14ac:dyDescent="0.45">
      <c r="A34" s="1" t="s">
        <v>32</v>
      </c>
      <c r="B34" s="1" t="str">
        <f>[1]Gesamt!B36</f>
        <v>Max Laabs</v>
      </c>
      <c r="C34" s="1">
        <v>7</v>
      </c>
      <c r="D34" s="1" t="s">
        <v>20</v>
      </c>
      <c r="E34" s="2">
        <v>37127</v>
      </c>
      <c r="F34" s="1">
        <f>[1]Gesamt!C36</f>
        <v>1200</v>
      </c>
      <c r="G34" s="1">
        <f>[1]Gesamt!X36</f>
        <v>1</v>
      </c>
      <c r="H34" s="1">
        <f>[1]Gesamt!U36</f>
        <v>0</v>
      </c>
      <c r="I34" s="1">
        <f>[1]Gesamt!L36</f>
        <v>1</v>
      </c>
      <c r="J34" s="1">
        <f>[1]Gesamt!O36</f>
        <v>0</v>
      </c>
      <c r="K34" s="1">
        <f>[1]Gesamt!R36</f>
        <v>0</v>
      </c>
      <c r="L34" s="1">
        <f>[1]Gesamt!D36</f>
        <v>90</v>
      </c>
      <c r="M34" s="1">
        <f>[1]Gesamt!Y36</f>
        <v>0</v>
      </c>
      <c r="N34" s="1">
        <f>[1]Gesamt!V36</f>
        <v>0</v>
      </c>
      <c r="O34" s="1">
        <f>[1]Gesamt!M36</f>
        <v>0</v>
      </c>
      <c r="P34" s="1">
        <f>[1]Gesamt!P36</f>
        <v>0</v>
      </c>
      <c r="Q34" s="1">
        <f>[1]Gesamt!S36</f>
        <v>0</v>
      </c>
    </row>
    <row r="35" spans="1:17" s="1" customFormat="1" ht="21" customHeight="1" x14ac:dyDescent="0.45">
      <c r="B35" s="1" t="str">
        <f>[1]Gesamt!B37</f>
        <v>Max Rönnau</v>
      </c>
      <c r="D35" s="1" t="s">
        <v>0</v>
      </c>
      <c r="E35" s="2"/>
      <c r="F35" s="1">
        <f>[1]Gesamt!C37</f>
        <v>0</v>
      </c>
      <c r="G35" s="1">
        <f>[1]Gesamt!X37</f>
        <v>0</v>
      </c>
      <c r="H35" s="1">
        <f>[1]Gesamt!U37</f>
        <v>0</v>
      </c>
      <c r="I35" s="1">
        <f>[1]Gesamt!L37</f>
        <v>0</v>
      </c>
      <c r="J35" s="1">
        <f>[1]Gesamt!O37</f>
        <v>0</v>
      </c>
      <c r="K35" s="1">
        <f>[1]Gesamt!R37</f>
        <v>0</v>
      </c>
      <c r="L35" s="1">
        <f>[1]Gesamt!D37</f>
        <v>0</v>
      </c>
      <c r="M35" s="1">
        <f>[1]Gesamt!Y37</f>
        <v>0</v>
      </c>
      <c r="N35" s="1">
        <f>[1]Gesamt!V37</f>
        <v>0</v>
      </c>
      <c r="O35" s="1">
        <f>[1]Gesamt!M37</f>
        <v>0</v>
      </c>
      <c r="P35" s="1">
        <f>[1]Gesamt!P37</f>
        <v>0</v>
      </c>
      <c r="Q35" s="1">
        <f>[1]Gesamt!S37</f>
        <v>0</v>
      </c>
    </row>
    <row r="36" spans="1:17" s="1" customFormat="1" ht="21" customHeight="1" x14ac:dyDescent="0.45">
      <c r="A36" s="1" t="s">
        <v>1</v>
      </c>
      <c r="B36" s="1" t="str">
        <f>[1]Gesamt!B38</f>
        <v>Maximilian Pilz</v>
      </c>
      <c r="C36" s="1">
        <v>6</v>
      </c>
      <c r="D36" s="1" t="s">
        <v>0</v>
      </c>
      <c r="E36" s="2">
        <v>45108</v>
      </c>
      <c r="F36" s="1">
        <f>[1]Gesamt!C38</f>
        <v>0</v>
      </c>
      <c r="G36" s="1">
        <f>[1]Gesamt!X38</f>
        <v>0</v>
      </c>
      <c r="H36" s="1">
        <f>[1]Gesamt!U38</f>
        <v>0</v>
      </c>
      <c r="I36" s="1">
        <f>[1]Gesamt!L38</f>
        <v>0</v>
      </c>
      <c r="J36" s="1">
        <f>[1]Gesamt!O38</f>
        <v>0</v>
      </c>
      <c r="K36" s="1">
        <f>[1]Gesamt!R38</f>
        <v>0</v>
      </c>
      <c r="L36" s="1">
        <f>[1]Gesamt!D38</f>
        <v>1358</v>
      </c>
      <c r="M36" s="1">
        <f>[1]Gesamt!Y38</f>
        <v>4</v>
      </c>
      <c r="N36" s="1">
        <f>[1]Gesamt!V38</f>
        <v>4</v>
      </c>
      <c r="O36" s="1">
        <f>[1]Gesamt!M38</f>
        <v>3</v>
      </c>
      <c r="P36" s="1">
        <f>[1]Gesamt!P38</f>
        <v>0</v>
      </c>
      <c r="Q36" s="1">
        <f>[1]Gesamt!S38</f>
        <v>0</v>
      </c>
    </row>
    <row r="37" spans="1:17" s="1" customFormat="1" ht="21" customHeight="1" x14ac:dyDescent="0.45">
      <c r="B37" s="1" t="str">
        <f>[1]Gesamt!B39</f>
        <v>Nicolas Wind</v>
      </c>
      <c r="C37" s="1">
        <v>4</v>
      </c>
      <c r="D37" s="1" t="s">
        <v>20</v>
      </c>
      <c r="E37" s="2">
        <v>43605</v>
      </c>
      <c r="F37" s="1">
        <f>[1]Gesamt!C39</f>
        <v>99</v>
      </c>
      <c r="G37" s="1">
        <f>[1]Gesamt!X39</f>
        <v>0</v>
      </c>
      <c r="H37" s="1">
        <f>[1]Gesamt!U39</f>
        <v>0</v>
      </c>
      <c r="I37" s="1">
        <f>[1]Gesamt!L39</f>
        <v>0</v>
      </c>
      <c r="J37" s="1">
        <f>[1]Gesamt!O39</f>
        <v>0</v>
      </c>
      <c r="K37" s="1">
        <f>[1]Gesamt!R39</f>
        <v>0</v>
      </c>
      <c r="L37" s="1">
        <f>[1]Gesamt!D39</f>
        <v>1043</v>
      </c>
      <c r="M37" s="1">
        <f>[1]Gesamt!Y39</f>
        <v>2</v>
      </c>
      <c r="N37" s="1">
        <f>[1]Gesamt!V39</f>
        <v>1</v>
      </c>
      <c r="O37" s="1">
        <f>[1]Gesamt!M39</f>
        <v>1</v>
      </c>
      <c r="P37" s="1">
        <f>[1]Gesamt!P39</f>
        <v>0</v>
      </c>
      <c r="Q37" s="1">
        <f>[1]Gesamt!S39</f>
        <v>0</v>
      </c>
    </row>
    <row r="38" spans="1:17" s="1" customFormat="1" ht="21" customHeight="1" x14ac:dyDescent="0.45">
      <c r="B38" s="1" t="str">
        <f>[1]Gesamt!B40</f>
        <v>Niklas Glück</v>
      </c>
      <c r="C38" s="1">
        <v>2</v>
      </c>
      <c r="D38" s="1" t="s">
        <v>20</v>
      </c>
      <c r="E38" s="2">
        <v>41877</v>
      </c>
      <c r="F38" s="1">
        <f>[1]Gesamt!C40</f>
        <v>1167</v>
      </c>
      <c r="G38" s="1">
        <f>[1]Gesamt!X40</f>
        <v>1</v>
      </c>
      <c r="H38" s="1">
        <f>[1]Gesamt!U40</f>
        <v>0</v>
      </c>
      <c r="I38" s="1">
        <f>[1]Gesamt!L40</f>
        <v>1</v>
      </c>
      <c r="J38" s="1">
        <f>[1]Gesamt!O40</f>
        <v>0</v>
      </c>
      <c r="K38" s="1">
        <f>[1]Gesamt!R40</f>
        <v>0</v>
      </c>
      <c r="L38" s="1">
        <f>[1]Gesamt!D40</f>
        <v>0</v>
      </c>
      <c r="M38" s="1">
        <f>[1]Gesamt!Y40</f>
        <v>0</v>
      </c>
      <c r="N38" s="1">
        <f>[1]Gesamt!V40</f>
        <v>0</v>
      </c>
      <c r="O38" s="1">
        <f>[1]Gesamt!M40</f>
        <v>0</v>
      </c>
      <c r="P38" s="1">
        <f>[1]Gesamt!P40</f>
        <v>0</v>
      </c>
      <c r="Q38" s="1">
        <f>[1]Gesamt!S40</f>
        <v>0</v>
      </c>
    </row>
    <row r="39" spans="1:17" s="1" customFormat="1" ht="21" customHeight="1" x14ac:dyDescent="0.45">
      <c r="B39" s="1" t="str">
        <f>[1]Gesamt!B41</f>
        <v>Ole Ströh</v>
      </c>
      <c r="C39" s="1">
        <v>17</v>
      </c>
      <c r="D39" s="1" t="s">
        <v>0</v>
      </c>
      <c r="E39" s="2">
        <v>40063</v>
      </c>
      <c r="F39" s="1">
        <f>[1]Gesamt!C41</f>
        <v>774</v>
      </c>
      <c r="G39" s="1">
        <f>[1]Gesamt!X41</f>
        <v>0</v>
      </c>
      <c r="H39" s="1">
        <f>[1]Gesamt!U41</f>
        <v>1</v>
      </c>
      <c r="I39" s="1">
        <f>[1]Gesamt!L41</f>
        <v>2</v>
      </c>
      <c r="J39" s="1">
        <f>[1]Gesamt!O41</f>
        <v>0</v>
      </c>
      <c r="K39" s="1">
        <f>[1]Gesamt!R41</f>
        <v>0</v>
      </c>
      <c r="L39" s="1">
        <f>[1]Gesamt!D41</f>
        <v>80</v>
      </c>
      <c r="M39" s="1">
        <f>[1]Gesamt!Y41</f>
        <v>0</v>
      </c>
      <c r="N39" s="1">
        <f>[1]Gesamt!V41</f>
        <v>0</v>
      </c>
      <c r="O39" s="1">
        <f>[1]Gesamt!M41</f>
        <v>0</v>
      </c>
      <c r="P39" s="1">
        <f>[1]Gesamt!P41</f>
        <v>0</v>
      </c>
      <c r="Q39" s="1">
        <f>[1]Gesamt!S41</f>
        <v>0</v>
      </c>
    </row>
    <row r="40" spans="1:17" s="1" customFormat="1" ht="21" customHeight="1" x14ac:dyDescent="0.45">
      <c r="B40" s="1" t="str">
        <f>[1]Gesamt!B42</f>
        <v>Roman Walter</v>
      </c>
      <c r="E40" s="2"/>
      <c r="F40" s="1">
        <f>[1]Gesamt!C42</f>
        <v>0</v>
      </c>
      <c r="G40" s="1">
        <f>[1]Gesamt!X42</f>
        <v>0</v>
      </c>
      <c r="H40" s="1">
        <f>[1]Gesamt!U42</f>
        <v>0</v>
      </c>
      <c r="I40" s="1">
        <f>[1]Gesamt!L42</f>
        <v>0</v>
      </c>
      <c r="J40" s="1">
        <f>[1]Gesamt!O42</f>
        <v>0</v>
      </c>
      <c r="K40" s="1">
        <f>[1]Gesamt!R42</f>
        <v>0</v>
      </c>
      <c r="L40" s="1">
        <f>[1]Gesamt!D42</f>
        <v>0</v>
      </c>
      <c r="M40" s="1">
        <f>[1]Gesamt!Y42</f>
        <v>0</v>
      </c>
      <c r="N40" s="1">
        <f>[1]Gesamt!V42</f>
        <v>0</v>
      </c>
      <c r="O40" s="1">
        <f>[1]Gesamt!M42</f>
        <v>0</v>
      </c>
      <c r="P40" s="1">
        <f>[1]Gesamt!P42</f>
        <v>0</v>
      </c>
      <c r="Q40" s="1">
        <f>[1]Gesamt!S42</f>
        <v>0</v>
      </c>
    </row>
    <row r="41" spans="1:17" s="1" customFormat="1" ht="21" customHeight="1" x14ac:dyDescent="0.45">
      <c r="B41" s="1" t="str">
        <f>[1]Gesamt!B43</f>
        <v>Rouven Meister</v>
      </c>
      <c r="C41" s="1">
        <v>8</v>
      </c>
      <c r="D41" s="1" t="s">
        <v>0</v>
      </c>
      <c r="E41" s="2">
        <v>45872</v>
      </c>
      <c r="F41" s="1">
        <f>[1]Gesamt!C43</f>
        <v>1308</v>
      </c>
      <c r="G41" s="1">
        <f>[1]Gesamt!X43</f>
        <v>1</v>
      </c>
      <c r="H41" s="1">
        <f>[1]Gesamt!U43</f>
        <v>1</v>
      </c>
      <c r="I41" s="1">
        <f>[1]Gesamt!L43</f>
        <v>2</v>
      </c>
      <c r="J41" s="1">
        <f>[1]Gesamt!O43</f>
        <v>0</v>
      </c>
      <c r="K41" s="1">
        <f>[1]Gesamt!R43</f>
        <v>0</v>
      </c>
      <c r="L41" s="1">
        <f>[1]Gesamt!D43</f>
        <v>0</v>
      </c>
      <c r="M41" s="1">
        <f>[1]Gesamt!Y43</f>
        <v>0</v>
      </c>
      <c r="N41" s="1">
        <f>[1]Gesamt!V43</f>
        <v>0</v>
      </c>
      <c r="O41" s="1">
        <f>[1]Gesamt!M43</f>
        <v>0</v>
      </c>
      <c r="P41" s="1">
        <f>[1]Gesamt!P43</f>
        <v>0</v>
      </c>
      <c r="Q41" s="1">
        <f>[1]Gesamt!S43</f>
        <v>0</v>
      </c>
    </row>
    <row r="42" spans="1:17" s="1" customFormat="1" ht="21" customHeight="1" x14ac:dyDescent="0.45">
      <c r="B42" s="1" t="str">
        <f>[1]Gesamt!B44</f>
        <v>Sebastian Ehlers</v>
      </c>
      <c r="D42" s="1" t="s">
        <v>0</v>
      </c>
      <c r="E42" s="2">
        <v>45839</v>
      </c>
      <c r="F42" s="1">
        <f>[1]Gesamt!C44</f>
        <v>90</v>
      </c>
      <c r="G42" s="1">
        <f>[1]Gesamt!X44</f>
        <v>0</v>
      </c>
      <c r="H42" s="1">
        <f>[1]Gesamt!U44</f>
        <v>0</v>
      </c>
      <c r="I42" s="1">
        <f>[1]Gesamt!L44</f>
        <v>0</v>
      </c>
      <c r="J42" s="1">
        <f>[1]Gesamt!O44</f>
        <v>0</v>
      </c>
      <c r="K42" s="1">
        <f>[1]Gesamt!R44</f>
        <v>0</v>
      </c>
      <c r="L42" s="1">
        <f>[1]Gesamt!D44</f>
        <v>338</v>
      </c>
      <c r="M42" s="1">
        <f>[1]Gesamt!Y44</f>
        <v>1</v>
      </c>
      <c r="N42" s="1">
        <f>[1]Gesamt!V44</f>
        <v>1</v>
      </c>
      <c r="O42" s="1">
        <f>[1]Gesamt!M44</f>
        <v>0</v>
      </c>
      <c r="P42" s="1">
        <f>[1]Gesamt!P44</f>
        <v>0</v>
      </c>
      <c r="Q42" s="1">
        <f>[1]Gesamt!S44</f>
        <v>0</v>
      </c>
    </row>
    <row r="43" spans="1:17" s="1" customFormat="1" ht="21" customHeight="1" x14ac:dyDescent="0.45">
      <c r="A43" s="1" t="s">
        <v>19</v>
      </c>
      <c r="B43" s="1" t="str">
        <f>[1]Gesamt!B45</f>
        <v>Sebastian Lange</v>
      </c>
      <c r="C43" s="1">
        <v>18</v>
      </c>
      <c r="D43" s="1" t="s">
        <v>20</v>
      </c>
      <c r="E43" s="2">
        <v>44943</v>
      </c>
      <c r="F43" s="1">
        <f>[1]Gesamt!C45</f>
        <v>72</v>
      </c>
      <c r="G43" s="1">
        <f>[1]Gesamt!X45</f>
        <v>0</v>
      </c>
      <c r="H43" s="1">
        <f>[1]Gesamt!U45</f>
        <v>0</v>
      </c>
      <c r="I43" s="1">
        <f>[1]Gesamt!L45</f>
        <v>0</v>
      </c>
      <c r="J43" s="1">
        <f>[1]Gesamt!O45</f>
        <v>0</v>
      </c>
      <c r="K43" s="1">
        <f>[1]Gesamt!R45</f>
        <v>0</v>
      </c>
      <c r="L43" s="1">
        <f>[1]Gesamt!D45</f>
        <v>1800</v>
      </c>
      <c r="M43" s="1">
        <f>[1]Gesamt!Y45</f>
        <v>0</v>
      </c>
      <c r="N43" s="1">
        <f>[1]Gesamt!V45</f>
        <v>1</v>
      </c>
      <c r="O43" s="1">
        <f>[1]Gesamt!M45</f>
        <v>1</v>
      </c>
      <c r="P43" s="1">
        <f>[1]Gesamt!P45</f>
        <v>0</v>
      </c>
      <c r="Q43" s="1">
        <f>[1]Gesamt!S45</f>
        <v>0</v>
      </c>
    </row>
    <row r="44" spans="1:17" s="1" customFormat="1" ht="21" customHeight="1" x14ac:dyDescent="0.45">
      <c r="B44" s="1" t="str">
        <f>[1]Gesamt!B46</f>
        <v>Sebastian Röh</v>
      </c>
      <c r="D44" s="1" t="s">
        <v>20</v>
      </c>
      <c r="E44" s="2">
        <v>44067</v>
      </c>
      <c r="F44" s="1">
        <f>[1]Gesamt!C46</f>
        <v>0</v>
      </c>
      <c r="G44" s="1">
        <f>[1]Gesamt!X46</f>
        <v>0</v>
      </c>
      <c r="H44" s="1">
        <f>[1]Gesamt!U46</f>
        <v>0</v>
      </c>
      <c r="I44" s="1">
        <f>[1]Gesamt!L46</f>
        <v>0</v>
      </c>
      <c r="J44" s="1">
        <f>[1]Gesamt!O46</f>
        <v>0</v>
      </c>
      <c r="K44" s="1">
        <f>[1]Gesamt!R46</f>
        <v>0</v>
      </c>
      <c r="L44" s="1">
        <f>[1]Gesamt!D46</f>
        <v>77</v>
      </c>
      <c r="M44" s="1">
        <f>[1]Gesamt!Y46</f>
        <v>0</v>
      </c>
      <c r="N44" s="1">
        <f>[1]Gesamt!V46</f>
        <v>0</v>
      </c>
      <c r="O44" s="1">
        <f>[1]Gesamt!M46</f>
        <v>0</v>
      </c>
      <c r="P44" s="1">
        <f>[1]Gesamt!P46</f>
        <v>0</v>
      </c>
      <c r="Q44" s="1">
        <f>[1]Gesamt!S46</f>
        <v>0</v>
      </c>
    </row>
    <row r="45" spans="1:17" s="1" customFormat="1" ht="21" customHeight="1" x14ac:dyDescent="0.45">
      <c r="B45" s="1" t="str">
        <f>[1]Gesamt!B47</f>
        <v>Sebastian Saupe</v>
      </c>
      <c r="D45" s="1" t="s">
        <v>20</v>
      </c>
      <c r="E45" s="2">
        <v>40544</v>
      </c>
      <c r="F45" s="1">
        <f>[1]Gesamt!C47</f>
        <v>0</v>
      </c>
      <c r="G45" s="1">
        <f>[1]Gesamt!X47</f>
        <v>0</v>
      </c>
      <c r="H45" s="1">
        <f>[1]Gesamt!U47</f>
        <v>0</v>
      </c>
      <c r="I45" s="1">
        <f>[1]Gesamt!L47</f>
        <v>0</v>
      </c>
      <c r="J45" s="1">
        <f>[1]Gesamt!O47</f>
        <v>0</v>
      </c>
      <c r="K45" s="1">
        <f>[1]Gesamt!R47</f>
        <v>0</v>
      </c>
      <c r="L45" s="1">
        <f>[1]Gesamt!D47</f>
        <v>560</v>
      </c>
      <c r="M45" s="1">
        <f>[1]Gesamt!Y47</f>
        <v>0</v>
      </c>
      <c r="N45" s="1">
        <f>[1]Gesamt!V47</f>
        <v>1</v>
      </c>
      <c r="O45" s="1">
        <f>[1]Gesamt!M47</f>
        <v>0</v>
      </c>
      <c r="P45" s="1">
        <f>[1]Gesamt!P47</f>
        <v>0</v>
      </c>
      <c r="Q45" s="1">
        <f>[1]Gesamt!S47</f>
        <v>0</v>
      </c>
    </row>
    <row r="46" spans="1:17" s="1" customFormat="1" ht="21" customHeight="1" x14ac:dyDescent="0.45">
      <c r="B46" s="1" t="str">
        <f>[1]Gesamt!B48</f>
        <v>Simon Mathiesen</v>
      </c>
      <c r="E46" s="2"/>
      <c r="F46" s="1">
        <f>[1]Gesamt!C48</f>
        <v>0</v>
      </c>
      <c r="G46" s="1">
        <f>[1]Gesamt!X48</f>
        <v>0</v>
      </c>
      <c r="H46" s="1">
        <f>[1]Gesamt!U48</f>
        <v>0</v>
      </c>
      <c r="I46" s="1">
        <f>[1]Gesamt!L48</f>
        <v>0</v>
      </c>
      <c r="J46" s="1">
        <f>[1]Gesamt!O48</f>
        <v>0</v>
      </c>
      <c r="K46" s="1">
        <f>[1]Gesamt!R48</f>
        <v>0</v>
      </c>
      <c r="L46" s="1">
        <f>[1]Gesamt!D48</f>
        <v>121</v>
      </c>
      <c r="M46" s="1">
        <f>[1]Gesamt!Y48</f>
        <v>1</v>
      </c>
      <c r="N46" s="1">
        <f>[1]Gesamt!V48</f>
        <v>1</v>
      </c>
      <c r="O46" s="1">
        <f>[1]Gesamt!M48</f>
        <v>0</v>
      </c>
      <c r="P46" s="1">
        <f>[1]Gesamt!P48</f>
        <v>0</v>
      </c>
      <c r="Q46" s="1">
        <f>[1]Gesamt!S48</f>
        <v>0</v>
      </c>
    </row>
    <row r="47" spans="1:17" s="1" customFormat="1" ht="21" customHeight="1" x14ac:dyDescent="0.45">
      <c r="A47" s="1" t="s">
        <v>30</v>
      </c>
      <c r="B47" s="1" t="str">
        <f>[1]Gesamt!B49</f>
        <v>Steffen Zobott</v>
      </c>
      <c r="C47" s="1">
        <v>3</v>
      </c>
      <c r="D47" s="1" t="s">
        <v>20</v>
      </c>
      <c r="E47" s="2">
        <v>43374</v>
      </c>
      <c r="F47" s="1">
        <f>[1]Gesamt!C49</f>
        <v>0</v>
      </c>
      <c r="G47" s="1">
        <f>[1]Gesamt!X49</f>
        <v>0</v>
      </c>
      <c r="H47" s="1">
        <f>[1]Gesamt!U49</f>
        <v>0</v>
      </c>
      <c r="I47" s="1">
        <f>[1]Gesamt!L49</f>
        <v>0</v>
      </c>
      <c r="J47" s="1">
        <f>[1]Gesamt!O49</f>
        <v>0</v>
      </c>
      <c r="K47" s="1">
        <f>[1]Gesamt!R49</f>
        <v>0</v>
      </c>
      <c r="L47" s="1">
        <f>[1]Gesamt!D49</f>
        <v>1551</v>
      </c>
      <c r="M47" s="1">
        <f>[1]Gesamt!Y49</f>
        <v>0</v>
      </c>
      <c r="N47" s="1">
        <f>[1]Gesamt!V49</f>
        <v>0</v>
      </c>
      <c r="O47" s="1">
        <f>[1]Gesamt!M49</f>
        <v>1</v>
      </c>
      <c r="P47" s="1">
        <f>[1]Gesamt!P49</f>
        <v>0</v>
      </c>
      <c r="Q47" s="1">
        <f>[1]Gesamt!S49</f>
        <v>0</v>
      </c>
    </row>
    <row r="48" spans="1:17" s="1" customFormat="1" ht="21" customHeight="1" x14ac:dyDescent="0.45">
      <c r="B48" s="1" t="str">
        <f>[1]Gesamt!B50</f>
        <v>Sven Köpernick</v>
      </c>
      <c r="E48" s="2"/>
      <c r="F48" s="1">
        <f>[1]Gesamt!C50</f>
        <v>0</v>
      </c>
      <c r="G48" s="1">
        <f>[1]Gesamt!X50</f>
        <v>0</v>
      </c>
      <c r="H48" s="1">
        <f>[1]Gesamt!U50</f>
        <v>0</v>
      </c>
      <c r="I48" s="1">
        <f>[1]Gesamt!L50</f>
        <v>0</v>
      </c>
      <c r="J48" s="1">
        <f>[1]Gesamt!O50</f>
        <v>0</v>
      </c>
      <c r="K48" s="1">
        <f>[1]Gesamt!R50</f>
        <v>0</v>
      </c>
      <c r="L48" s="1">
        <f>[1]Gesamt!D50</f>
        <v>90</v>
      </c>
      <c r="M48" s="1">
        <f>[1]Gesamt!Y50</f>
        <v>0</v>
      </c>
      <c r="N48" s="1">
        <f>[1]Gesamt!V50</f>
        <v>0</v>
      </c>
      <c r="O48" s="1">
        <f>[1]Gesamt!M50</f>
        <v>0</v>
      </c>
      <c r="P48" s="1">
        <f>[1]Gesamt!P50</f>
        <v>0</v>
      </c>
      <c r="Q48" s="1">
        <f>[1]Gesamt!S50</f>
        <v>0</v>
      </c>
    </row>
    <row r="49" spans="1:17" s="1" customFormat="1" ht="21" customHeight="1" x14ac:dyDescent="0.45">
      <c r="B49" s="1" t="str">
        <f>[1]Gesamt!B51</f>
        <v>Till Greiner-Hiero</v>
      </c>
      <c r="C49" s="1">
        <v>29</v>
      </c>
      <c r="D49" s="1" t="s">
        <v>23</v>
      </c>
      <c r="E49" s="2">
        <v>45861</v>
      </c>
      <c r="F49" s="1">
        <f>[1]Gesamt!C51</f>
        <v>517</v>
      </c>
      <c r="G49" s="1">
        <f>[1]Gesamt!X51</f>
        <v>3</v>
      </c>
      <c r="H49" s="1">
        <f>[1]Gesamt!U51</f>
        <v>1</v>
      </c>
      <c r="I49" s="1">
        <f>[1]Gesamt!L51</f>
        <v>0</v>
      </c>
      <c r="J49" s="1">
        <f>[1]Gesamt!O51</f>
        <v>0</v>
      </c>
      <c r="K49" s="1">
        <f>[1]Gesamt!R51</f>
        <v>0</v>
      </c>
      <c r="L49" s="1">
        <f>[1]Gesamt!D51</f>
        <v>0</v>
      </c>
      <c r="M49" s="1">
        <f>[1]Gesamt!Y51</f>
        <v>0</v>
      </c>
      <c r="N49" s="1">
        <f>[1]Gesamt!V51</f>
        <v>0</v>
      </c>
      <c r="O49" s="1">
        <f>[1]Gesamt!M51</f>
        <v>0</v>
      </c>
      <c r="P49" s="1">
        <f>[1]Gesamt!P51</f>
        <v>0</v>
      </c>
      <c r="Q49" s="1">
        <f>[1]Gesamt!S51</f>
        <v>0</v>
      </c>
    </row>
    <row r="50" spans="1:17" s="1" customFormat="1" ht="21" customHeight="1" x14ac:dyDescent="0.45">
      <c r="A50" s="1" t="s">
        <v>22</v>
      </c>
      <c r="B50" s="1" t="str">
        <f>[1]Gesamt!B52</f>
        <v>Tim Sachau</v>
      </c>
      <c r="C50" s="1">
        <v>3</v>
      </c>
      <c r="D50" s="1" t="s">
        <v>20</v>
      </c>
      <c r="E50" s="2">
        <v>45474</v>
      </c>
      <c r="F50" s="1">
        <f>[1]Gesamt!C52</f>
        <v>1710</v>
      </c>
      <c r="G50" s="1">
        <f>[1]Gesamt!X52</f>
        <v>0</v>
      </c>
      <c r="H50" s="1">
        <f>[1]Gesamt!U52</f>
        <v>0</v>
      </c>
      <c r="I50" s="1">
        <f>[1]Gesamt!L52</f>
        <v>2</v>
      </c>
      <c r="J50" s="1">
        <f>[1]Gesamt!O52</f>
        <v>0</v>
      </c>
      <c r="K50" s="1">
        <f>[1]Gesamt!R52</f>
        <v>0</v>
      </c>
      <c r="L50" s="1">
        <f>[1]Gesamt!D52</f>
        <v>0</v>
      </c>
      <c r="M50" s="1">
        <f>[1]Gesamt!Y52</f>
        <v>0</v>
      </c>
      <c r="N50" s="1">
        <f>[1]Gesamt!V52</f>
        <v>0</v>
      </c>
      <c r="O50" s="1">
        <f>[1]Gesamt!M52</f>
        <v>0</v>
      </c>
      <c r="P50" s="1">
        <f>[1]Gesamt!P52</f>
        <v>0</v>
      </c>
      <c r="Q50" s="1">
        <f>[1]Gesamt!S52</f>
        <v>0</v>
      </c>
    </row>
    <row r="51" spans="1:17" s="1" customFormat="1" ht="21" customHeight="1" x14ac:dyDescent="0.45">
      <c r="B51" s="1" t="str">
        <f>[1]Gesamt!B53</f>
        <v>Tim Stratmann</v>
      </c>
      <c r="E51" s="2"/>
      <c r="F51" s="1">
        <f>[1]Gesamt!C53</f>
        <v>0</v>
      </c>
      <c r="G51" s="1">
        <f>[1]Gesamt!X53</f>
        <v>0</v>
      </c>
      <c r="H51" s="1">
        <f>[1]Gesamt!U53</f>
        <v>0</v>
      </c>
      <c r="I51" s="1">
        <f>[1]Gesamt!L53</f>
        <v>0</v>
      </c>
      <c r="J51" s="1">
        <f>[1]Gesamt!O53</f>
        <v>0</v>
      </c>
      <c r="K51" s="1">
        <f>[1]Gesamt!R53</f>
        <v>0</v>
      </c>
      <c r="L51" s="1">
        <f>[1]Gesamt!D53</f>
        <v>420</v>
      </c>
      <c r="M51" s="1">
        <f>[1]Gesamt!Y53</f>
        <v>1</v>
      </c>
      <c r="N51" s="1">
        <f>[1]Gesamt!V53</f>
        <v>0</v>
      </c>
      <c r="O51" s="1">
        <f>[1]Gesamt!M53</f>
        <v>2</v>
      </c>
      <c r="P51" s="1">
        <f>[1]Gesamt!P53</f>
        <v>0</v>
      </c>
      <c r="Q51" s="1">
        <f>[1]Gesamt!S53</f>
        <v>0</v>
      </c>
    </row>
    <row r="52" spans="1:17" s="1" customFormat="1" ht="21" customHeight="1" x14ac:dyDescent="0.45">
      <c r="B52" s="1" t="str">
        <f>[1]Gesamt!B54</f>
        <v>Torge Bremer</v>
      </c>
      <c r="D52" s="1" t="s">
        <v>20</v>
      </c>
      <c r="E52" s="2">
        <v>41793</v>
      </c>
      <c r="F52" s="1">
        <f>[1]Gesamt!C54</f>
        <v>0</v>
      </c>
      <c r="G52" s="1">
        <f>[1]Gesamt!X54</f>
        <v>0</v>
      </c>
      <c r="H52" s="1">
        <f>[1]Gesamt!U54</f>
        <v>0</v>
      </c>
      <c r="I52" s="1">
        <f>[1]Gesamt!L54</f>
        <v>0</v>
      </c>
      <c r="J52" s="1">
        <f>[1]Gesamt!O54</f>
        <v>0</v>
      </c>
      <c r="K52" s="1">
        <f>[1]Gesamt!R54</f>
        <v>0</v>
      </c>
      <c r="L52" s="1">
        <f>[1]Gesamt!D54</f>
        <v>140</v>
      </c>
      <c r="M52" s="1">
        <f>[1]Gesamt!Y54</f>
        <v>0</v>
      </c>
      <c r="N52" s="1">
        <f>[1]Gesamt!V54</f>
        <v>0</v>
      </c>
      <c r="O52" s="1">
        <f>[1]Gesamt!M54</f>
        <v>0</v>
      </c>
      <c r="P52" s="1">
        <f>[1]Gesamt!P54</f>
        <v>0</v>
      </c>
      <c r="Q52" s="1">
        <f>[1]Gesamt!S54</f>
        <v>0</v>
      </c>
    </row>
    <row r="53" spans="1:17" s="1" customFormat="1" ht="21" customHeight="1" x14ac:dyDescent="0.45">
      <c r="B53" s="1" t="str">
        <f>[1]Gesamt!B55</f>
        <v>Veit Brücker</v>
      </c>
      <c r="D53" s="1" t="s">
        <v>0</v>
      </c>
      <c r="E53" s="2">
        <v>41393</v>
      </c>
      <c r="F53" s="1">
        <f>[1]Gesamt!C55</f>
        <v>0</v>
      </c>
      <c r="G53" s="1">
        <f>[1]Gesamt!X55</f>
        <v>0</v>
      </c>
      <c r="H53" s="1">
        <f>[1]Gesamt!U55</f>
        <v>0</v>
      </c>
      <c r="I53" s="1">
        <f>[1]Gesamt!L55</f>
        <v>0</v>
      </c>
      <c r="J53" s="1">
        <f>[1]Gesamt!O55</f>
        <v>0</v>
      </c>
      <c r="K53" s="1">
        <f>[1]Gesamt!R55</f>
        <v>0</v>
      </c>
      <c r="L53" s="1">
        <f>[1]Gesamt!D55</f>
        <v>250</v>
      </c>
      <c r="M53" s="1">
        <f>[1]Gesamt!Y55</f>
        <v>0</v>
      </c>
      <c r="N53" s="1">
        <f>[1]Gesamt!V55</f>
        <v>2</v>
      </c>
      <c r="O53" s="1">
        <f>[1]Gesamt!M55</f>
        <v>0</v>
      </c>
      <c r="P53" s="1">
        <f>[1]Gesamt!P55</f>
        <v>0</v>
      </c>
      <c r="Q53" s="1">
        <f>[1]Gesamt!S55</f>
        <v>0</v>
      </c>
    </row>
    <row r="54" spans="1:17" s="1" customFormat="1" ht="21" customHeight="1" x14ac:dyDescent="0.45">
      <c r="B54" s="1" t="str">
        <f>[1]Gesamt!B56</f>
        <v>Z1 Joso Jochimsen</v>
      </c>
      <c r="E54" s="2">
        <v>45898</v>
      </c>
      <c r="F54" s="1">
        <f>[1]Gesamt!C56</f>
        <v>0</v>
      </c>
      <c r="G54" s="1">
        <f>[1]Gesamt!X56</f>
        <v>0</v>
      </c>
      <c r="H54" s="1">
        <f>[1]Gesamt!U56</f>
        <v>0</v>
      </c>
      <c r="I54" s="1">
        <f>[1]Gesamt!L56</f>
        <v>0</v>
      </c>
      <c r="J54" s="1">
        <f>[1]Gesamt!O56</f>
        <v>0</v>
      </c>
      <c r="K54" s="1">
        <f>[1]Gesamt!R56</f>
        <v>0</v>
      </c>
      <c r="L54" s="1">
        <f>[1]Gesamt!D56</f>
        <v>198</v>
      </c>
      <c r="M54" s="1">
        <f>[1]Gesamt!Y56</f>
        <v>0</v>
      </c>
      <c r="N54" s="1">
        <f>[1]Gesamt!V56</f>
        <v>0</v>
      </c>
      <c r="O54" s="1">
        <f>[1]Gesamt!M56</f>
        <v>1</v>
      </c>
      <c r="P54" s="1">
        <f>[1]Gesamt!P56</f>
        <v>0</v>
      </c>
      <c r="Q54" s="1">
        <f>[1]Gesamt!S56</f>
        <v>0</v>
      </c>
    </row>
    <row r="55" spans="1:17" s="1" customFormat="1" ht="21" customHeight="1" x14ac:dyDescent="0.45">
      <c r="B55" s="1" t="str">
        <f>[1]Gesamt!B57</f>
        <v>Z2 Lars Heinrich</v>
      </c>
      <c r="D55" s="1" t="s">
        <v>20</v>
      </c>
      <c r="E55" s="2">
        <v>37161</v>
      </c>
      <c r="F55" s="1">
        <f>[1]Gesamt!C57</f>
        <v>0</v>
      </c>
      <c r="G55" s="1">
        <f>[1]Gesamt!X57</f>
        <v>0</v>
      </c>
      <c r="H55" s="1">
        <f>[1]Gesamt!U57</f>
        <v>0</v>
      </c>
      <c r="I55" s="1">
        <f>[1]Gesamt!L57</f>
        <v>0</v>
      </c>
      <c r="J55" s="1">
        <f>[1]Gesamt!O57</f>
        <v>0</v>
      </c>
      <c r="K55" s="1">
        <f>[1]Gesamt!R57</f>
        <v>0</v>
      </c>
      <c r="L55" s="1">
        <f>[1]Gesamt!D57</f>
        <v>209</v>
      </c>
      <c r="M55" s="1">
        <f>[1]Gesamt!Y57</f>
        <v>0</v>
      </c>
      <c r="N55" s="1">
        <f>[1]Gesamt!V57</f>
        <v>0</v>
      </c>
      <c r="O55" s="1">
        <f>[1]Gesamt!M57</f>
        <v>0</v>
      </c>
      <c r="P55" s="1">
        <f>[1]Gesamt!P57</f>
        <v>0</v>
      </c>
      <c r="Q55" s="1">
        <f>[1]Gesamt!S57</f>
        <v>0</v>
      </c>
    </row>
    <row r="56" spans="1:17" s="1" customFormat="1" ht="21" customHeight="1" x14ac:dyDescent="0.45">
      <c r="B56" s="1" t="str">
        <f>[1]Gesamt!B58</f>
        <v>Z3 Jason Hannemann</v>
      </c>
      <c r="D56" s="1" t="s">
        <v>20</v>
      </c>
      <c r="E56" s="2"/>
      <c r="F56" s="1">
        <f>[1]Gesamt!C58</f>
        <v>0</v>
      </c>
      <c r="G56" s="1">
        <f>[1]Gesamt!X58</f>
        <v>0</v>
      </c>
      <c r="H56" s="1">
        <f>[1]Gesamt!U58</f>
        <v>0</v>
      </c>
      <c r="I56" s="1">
        <f>[1]Gesamt!L58</f>
        <v>0</v>
      </c>
      <c r="J56" s="1">
        <f>[1]Gesamt!O58</f>
        <v>0</v>
      </c>
      <c r="K56" s="1">
        <f>[1]Gesamt!R58</f>
        <v>0</v>
      </c>
      <c r="L56" s="1">
        <f>[1]Gesamt!D58</f>
        <v>49</v>
      </c>
      <c r="M56" s="1">
        <f>[1]Gesamt!Y58</f>
        <v>0</v>
      </c>
      <c r="N56" s="1">
        <f>[1]Gesamt!V58</f>
        <v>0</v>
      </c>
      <c r="O56" s="1">
        <f>[1]Gesamt!M58</f>
        <v>0</v>
      </c>
      <c r="P56" s="1">
        <f>[1]Gesamt!P58</f>
        <v>0</v>
      </c>
      <c r="Q56" s="1">
        <f>[1]Gesamt!S58</f>
        <v>0</v>
      </c>
    </row>
    <row r="57" spans="1:17" s="1" customFormat="1" ht="21" customHeight="1" x14ac:dyDescent="0.45">
      <c r="B57" s="1" t="str">
        <f>[1]Gesamt!B59</f>
        <v>Z4 Pascal Diedrichsen</v>
      </c>
      <c r="D57" s="1" t="s">
        <v>23</v>
      </c>
      <c r="E57" s="2">
        <v>41275</v>
      </c>
      <c r="F57" s="1">
        <f>[1]Gesamt!C59</f>
        <v>333</v>
      </c>
      <c r="G57" s="1">
        <f>[1]Gesamt!X59</f>
        <v>1</v>
      </c>
      <c r="H57" s="1">
        <f>[1]Gesamt!U59</f>
        <v>0</v>
      </c>
      <c r="I57" s="1">
        <f>[1]Gesamt!L59</f>
        <v>0</v>
      </c>
      <c r="J57" s="1">
        <f>[1]Gesamt!O59</f>
        <v>0</v>
      </c>
      <c r="K57" s="1">
        <f>[1]Gesamt!R59</f>
        <v>0</v>
      </c>
      <c r="L57" s="1">
        <f>[1]Gesamt!D59</f>
        <v>0</v>
      </c>
      <c r="M57" s="1">
        <f>[1]Gesamt!Y59</f>
        <v>0</v>
      </c>
      <c r="N57" s="1">
        <f>[1]Gesamt!V59</f>
        <v>0</v>
      </c>
      <c r="O57" s="1">
        <f>[1]Gesamt!M59</f>
        <v>0</v>
      </c>
      <c r="P57" s="1">
        <f>[1]Gesamt!P59</f>
        <v>0</v>
      </c>
      <c r="Q57" s="1">
        <f>[1]Gesamt!S59</f>
        <v>0</v>
      </c>
    </row>
    <row r="58" spans="1:17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7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7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7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7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7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7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Schink</dc:creator>
  <cp:lastModifiedBy>SV Holtsee</cp:lastModifiedBy>
  <dcterms:created xsi:type="dcterms:W3CDTF">2026-03-20T19:01:07Z</dcterms:created>
  <dcterms:modified xsi:type="dcterms:W3CDTF">2026-05-18T19:35:32Z</dcterms:modified>
</cp:coreProperties>
</file>